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月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;@"/>
  </numFmts>
  <fonts count="4">
    <font>
      <name val="Calibri"/>
      <family val="2"/>
      <color theme="1"/>
      <sz val="11"/>
      <scheme val="minor"/>
    </font>
    <font>
      <name val="微软雅黑"/>
      <b val="1"/>
      <color rgb="FFFF0000"/>
      <sz val="8"/>
    </font>
    <font>
      <name val="微软雅黑"/>
      <b val="1"/>
      <color rgb="FF000000"/>
      <sz val="8"/>
    </font>
    <font>
      <name val="微软雅黑"/>
      <color rgb="FF000000"/>
      <sz val="8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C000"/>
        <bgColor rgb="00FFC000"/>
      </patternFill>
    </fill>
    <fill>
      <patternFill patternType="solid">
        <fgColor rgb="00FFF3E0"/>
        <bgColor rgb="00FFF3E0"/>
      </patternFill>
    </fill>
    <fill>
      <patternFill patternType="solid">
        <fgColor rgb="00FFFF00"/>
        <bgColor rgb="00FFFF00"/>
      </patternFill>
    </fill>
    <fill>
      <patternFill patternType="solid">
        <fgColor rgb="00EE822F"/>
        <bgColor rgb="00EE822F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DE7F6"/>
        <bgColor rgb="00EDE7F6"/>
      </patternFill>
    </fill>
    <fill>
      <patternFill patternType="solid">
        <fgColor rgb="00E0F7FA"/>
        <bgColor rgb="00E0F7FA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</cols>
  <sheetData>
    <row r="1" ht="27" customHeight="1">
      <c r="A1" s="1" t="inlineStr">
        <is>
          <t>姓名</t>
        </is>
      </c>
      <c r="B1" s="1" t="inlineStr">
        <is>
          <t>工号</t>
        </is>
      </c>
      <c r="C1" t="inlineStr"/>
      <c r="D1" s="2" t="n">
        <v>46235</v>
      </c>
      <c r="E1" s="2" t="n">
        <v>46236</v>
      </c>
      <c r="F1" s="3" t="n">
        <v>46237</v>
      </c>
      <c r="G1" s="3" t="n">
        <v>46238</v>
      </c>
      <c r="H1" s="3" t="n">
        <v>46239</v>
      </c>
      <c r="I1" s="3" t="n">
        <v>46240</v>
      </c>
      <c r="J1" s="3" t="n">
        <v>46241</v>
      </c>
      <c r="K1" s="2" t="n">
        <v>46242</v>
      </c>
      <c r="L1" s="2" t="n">
        <v>46243</v>
      </c>
      <c r="M1" s="3" t="n">
        <v>46244</v>
      </c>
      <c r="N1" s="3" t="n">
        <v>46245</v>
      </c>
      <c r="O1" s="3" t="n">
        <v>46246</v>
      </c>
      <c r="P1" s="3" t="n">
        <v>46247</v>
      </c>
      <c r="Q1" s="3" t="n">
        <v>46248</v>
      </c>
      <c r="R1" s="2" t="n">
        <v>46249</v>
      </c>
      <c r="S1" s="2" t="n">
        <v>46250</v>
      </c>
      <c r="T1" s="3" t="n">
        <v>46251</v>
      </c>
      <c r="U1" s="3" t="n">
        <v>46252</v>
      </c>
      <c r="V1" s="3" t="n">
        <v>46253</v>
      </c>
      <c r="W1" s="3" t="n">
        <v>46254</v>
      </c>
      <c r="X1" s="3" t="n">
        <v>46255</v>
      </c>
      <c r="Y1" s="2" t="n">
        <v>46256</v>
      </c>
      <c r="Z1" s="2" t="n">
        <v>46257</v>
      </c>
      <c r="AA1" s="3" t="n">
        <v>46258</v>
      </c>
      <c r="AB1" s="3" t="n">
        <v>46259</v>
      </c>
      <c r="AC1" s="3" t="n">
        <v>46260</v>
      </c>
      <c r="AD1" s="3" t="n">
        <v>46261</v>
      </c>
      <c r="AE1" s="3" t="n">
        <v>46262</v>
      </c>
      <c r="AF1" s="2" t="n">
        <v>46263</v>
      </c>
      <c r="AG1" s="2" t="n">
        <v>46264</v>
      </c>
      <c r="AH1" s="3" t="n">
        <v>46265</v>
      </c>
      <c r="AI1" s="1" t="inlineStr">
        <is>
          <t>休</t>
        </is>
      </c>
      <c r="AJ1" s="1" t="inlineStr">
        <is>
          <t>行政班</t>
        </is>
      </c>
      <c r="AK1" s="1" t="inlineStr">
        <is>
          <t>白班
(机动)</t>
        </is>
      </c>
      <c r="AL1" s="1" t="inlineStr">
        <is>
          <t>晚二</t>
        </is>
      </c>
      <c r="AM1" s="1" t="inlineStr">
        <is>
          <t>早早班
(IM)</t>
        </is>
      </c>
      <c r="AN1" s="1" t="inlineStr">
        <is>
          <t>早班</t>
        </is>
      </c>
      <c r="AO1" s="1" t="inlineStr">
        <is>
          <t>早三</t>
        </is>
      </c>
      <c r="AP1" s="1" t="inlineStr">
        <is>
          <t>白班</t>
        </is>
      </c>
      <c r="AQ1" s="1" t="inlineStr">
        <is>
          <t>中三</t>
        </is>
      </c>
      <c r="AR1" s="1" t="inlineStr">
        <is>
          <t>中四</t>
        </is>
      </c>
      <c r="AS1" s="1" t="inlineStr">
        <is>
          <t>晚一</t>
        </is>
      </c>
      <c r="AT1" s="1" t="inlineStr">
        <is>
          <t>晚二</t>
        </is>
      </c>
      <c r="AU1" s="1" t="inlineStr">
        <is>
          <t>大夜</t>
        </is>
      </c>
    </row>
    <row r="2" ht="33" customHeight="1">
      <c r="A2" s="4" t="inlineStr">
        <is>
          <t xml:space="preserve"> 李玲</t>
        </is>
      </c>
      <c r="B2" s="4" t="inlineStr">
        <is>
          <t>62416</t>
        </is>
      </c>
      <c r="C2" s="4" t="inlineStr">
        <is>
          <t>班长</t>
        </is>
      </c>
      <c r="D2" s="5" t="inlineStr">
        <is>
          <t>长白班</t>
        </is>
      </c>
      <c r="E2" s="5" t="inlineStr">
        <is>
          <t>长白班</t>
        </is>
      </c>
      <c r="F2" s="6" t="inlineStr">
        <is>
          <t>休</t>
        </is>
      </c>
      <c r="G2" s="6" t="inlineStr">
        <is>
          <t>休</t>
        </is>
      </c>
      <c r="H2" s="5" t="inlineStr">
        <is>
          <t>长白班</t>
        </is>
      </c>
      <c r="I2" s="5" t="inlineStr">
        <is>
          <t>长白班</t>
        </is>
      </c>
      <c r="J2" s="6" t="inlineStr">
        <is>
          <t>休</t>
        </is>
      </c>
      <c r="K2" s="6" t="inlineStr">
        <is>
          <t>休</t>
        </is>
      </c>
      <c r="L2" s="5" t="inlineStr">
        <is>
          <t>长白班</t>
        </is>
      </c>
      <c r="M2" s="5" t="inlineStr">
        <is>
          <t>长白班</t>
        </is>
      </c>
      <c r="N2" s="6" t="inlineStr">
        <is>
          <t>休</t>
        </is>
      </c>
      <c r="O2" s="6" t="inlineStr">
        <is>
          <t>休</t>
        </is>
      </c>
      <c r="P2" s="5" t="inlineStr">
        <is>
          <t>长白班</t>
        </is>
      </c>
      <c r="Q2" s="5" t="inlineStr">
        <is>
          <t>长白班</t>
        </is>
      </c>
      <c r="R2" s="6" t="inlineStr">
        <is>
          <t>休</t>
        </is>
      </c>
      <c r="S2" s="6" t="inlineStr">
        <is>
          <t>休</t>
        </is>
      </c>
      <c r="T2" s="5" t="inlineStr">
        <is>
          <t>长白班</t>
        </is>
      </c>
      <c r="U2" s="5" t="inlineStr">
        <is>
          <t>长白班</t>
        </is>
      </c>
      <c r="V2" s="6" t="inlineStr">
        <is>
          <t>休</t>
        </is>
      </c>
      <c r="W2" s="6" t="inlineStr">
        <is>
          <t>休</t>
        </is>
      </c>
      <c r="X2" s="5" t="inlineStr">
        <is>
          <t>长白班</t>
        </is>
      </c>
      <c r="Y2" s="5" t="inlineStr">
        <is>
          <t>长白班</t>
        </is>
      </c>
      <c r="Z2" s="6" t="inlineStr">
        <is>
          <t>休</t>
        </is>
      </c>
      <c r="AA2" s="6" t="inlineStr">
        <is>
          <t>休</t>
        </is>
      </c>
      <c r="AB2" s="5" t="inlineStr">
        <is>
          <t>长白班</t>
        </is>
      </c>
      <c r="AC2" s="5" t="inlineStr">
        <is>
          <t>长白班</t>
        </is>
      </c>
      <c r="AD2" s="6" t="inlineStr">
        <is>
          <t>休</t>
        </is>
      </c>
      <c r="AE2" s="6" t="inlineStr">
        <is>
          <t>休</t>
        </is>
      </c>
      <c r="AF2" s="5" t="inlineStr">
        <is>
          <t>长白班</t>
        </is>
      </c>
      <c r="AG2" s="5" t="inlineStr">
        <is>
          <t>长白班</t>
        </is>
      </c>
      <c r="AH2" s="6" t="inlineStr">
        <is>
          <t>休</t>
        </is>
      </c>
      <c r="AI2" s="4">
        <f>COUNTIF(D2:AH2,"休")+COUNTIF(D2:AH2,"请假")</f>
        <v/>
      </c>
      <c r="AJ2" s="4">
        <f>COUNTIF(E2:AH2,"行政班")</f>
        <v/>
      </c>
      <c r="AK2" s="4">
        <f>COUNTIF(E2:AH2,"白班
(机动)")</f>
        <v/>
      </c>
      <c r="AL2" s="4">
        <f>COUNTIF(E2:AH2,"晚二")</f>
        <v/>
      </c>
      <c r="AM2" s="4">
        <f>COUNTIF(D2:AH2,"早早班
(IM)")</f>
        <v/>
      </c>
      <c r="AN2" s="4">
        <f>COUNTIF(D2:AH2,"早班")</f>
        <v/>
      </c>
      <c r="AO2" s="4">
        <f>COUNTIF(D2:AH2,"早三")</f>
        <v/>
      </c>
      <c r="AP2" s="4">
        <f>COUNTIF(D2:AH2,"白班")</f>
        <v/>
      </c>
      <c r="AQ2" s="4">
        <f>COUNTIF(D2:AH2,"中三")</f>
        <v/>
      </c>
      <c r="AR2" s="4">
        <f>COUNTIF(D2:AH2,"中四")</f>
        <v/>
      </c>
      <c r="AS2" s="4">
        <f>COUNTIF(D2:AH2,"晚一")+COUNTIF(D2:AH2,"晚一
(IM)")</f>
        <v/>
      </c>
      <c r="AT2" s="4">
        <f>COUNTIF(D2:AH2,"晚二")</f>
        <v/>
      </c>
      <c r="AU2" s="4">
        <f>COUNTIF(D2:AH2,"大夜")</f>
        <v/>
      </c>
    </row>
    <row r="3" ht="33" customHeight="1">
      <c r="A3" s="4" t="inlineStr">
        <is>
          <t xml:space="preserve"> 何丹妮</t>
        </is>
      </c>
      <c r="B3" s="4" t="inlineStr">
        <is>
          <t>63032</t>
        </is>
      </c>
      <c r="C3" s="4" t="inlineStr">
        <is>
          <t>班长</t>
        </is>
      </c>
      <c r="D3" s="5" t="inlineStr">
        <is>
          <t>长白班</t>
        </is>
      </c>
      <c r="E3" s="6" t="inlineStr">
        <is>
          <t>休</t>
        </is>
      </c>
      <c r="F3" s="5" t="inlineStr">
        <is>
          <t>长白班</t>
        </is>
      </c>
      <c r="G3" s="5" t="inlineStr">
        <is>
          <t>长白班</t>
        </is>
      </c>
      <c r="H3" s="6" t="inlineStr">
        <is>
          <t>休</t>
        </is>
      </c>
      <c r="I3" s="6" t="inlineStr">
        <is>
          <t>休</t>
        </is>
      </c>
      <c r="J3" s="5" t="inlineStr">
        <is>
          <t>长白班</t>
        </is>
      </c>
      <c r="K3" s="5" t="inlineStr">
        <is>
          <t>长白班</t>
        </is>
      </c>
      <c r="L3" s="6" t="inlineStr">
        <is>
          <t>休</t>
        </is>
      </c>
      <c r="M3" s="6" t="inlineStr">
        <is>
          <t>休</t>
        </is>
      </c>
      <c r="N3" s="5" t="inlineStr">
        <is>
          <t>长白班</t>
        </is>
      </c>
      <c r="O3" s="5" t="inlineStr">
        <is>
          <t>长白班</t>
        </is>
      </c>
      <c r="P3" s="6" t="inlineStr">
        <is>
          <t>休</t>
        </is>
      </c>
      <c r="Q3" s="6" t="inlineStr">
        <is>
          <t>休</t>
        </is>
      </c>
      <c r="R3" s="5" t="inlineStr">
        <is>
          <t>长白班</t>
        </is>
      </c>
      <c r="S3" s="5" t="inlineStr">
        <is>
          <t>长白班</t>
        </is>
      </c>
      <c r="T3" s="6" t="inlineStr">
        <is>
          <t>休</t>
        </is>
      </c>
      <c r="U3" s="6" t="inlineStr">
        <is>
          <t>休</t>
        </is>
      </c>
      <c r="V3" s="5" t="inlineStr">
        <is>
          <t>长白班</t>
        </is>
      </c>
      <c r="W3" s="5" t="inlineStr">
        <is>
          <t>长白班</t>
        </is>
      </c>
      <c r="X3" s="6" t="inlineStr">
        <is>
          <t>休</t>
        </is>
      </c>
      <c r="Y3" s="6" t="inlineStr">
        <is>
          <t>休</t>
        </is>
      </c>
      <c r="Z3" s="5" t="inlineStr">
        <is>
          <t>长白班</t>
        </is>
      </c>
      <c r="AA3" s="5" t="inlineStr">
        <is>
          <t>长白班</t>
        </is>
      </c>
      <c r="AB3" s="6" t="inlineStr">
        <is>
          <t>休</t>
        </is>
      </c>
      <c r="AC3" s="6" t="inlineStr">
        <is>
          <t>休</t>
        </is>
      </c>
      <c r="AD3" s="5" t="inlineStr">
        <is>
          <t>长白班</t>
        </is>
      </c>
      <c r="AE3" s="5" t="inlineStr">
        <is>
          <t>长白班</t>
        </is>
      </c>
      <c r="AF3" s="6" t="inlineStr">
        <is>
          <t>休</t>
        </is>
      </c>
      <c r="AG3" s="6" t="inlineStr">
        <is>
          <t>休</t>
        </is>
      </c>
      <c r="AH3" s="5" t="inlineStr">
        <is>
          <t>长白班</t>
        </is>
      </c>
      <c r="AI3" s="4">
        <f>COUNTIF(D3:AH3,"休")+COUNTIF(D3:AH3,"请假")</f>
        <v/>
      </c>
      <c r="AJ3" s="4">
        <f>COUNTIF(E3:AH3,"行政班")</f>
        <v/>
      </c>
      <c r="AK3" s="4">
        <f>COUNTIF(E3:AH3,"白班
(机动)")</f>
        <v/>
      </c>
      <c r="AL3" s="4">
        <f>COUNTIF(E3:AH3,"晚二")</f>
        <v/>
      </c>
      <c r="AM3" s="4">
        <f>COUNTIF(D3:AH3,"早早班
(IM)")</f>
        <v/>
      </c>
      <c r="AN3" s="4">
        <f>COUNTIF(D3:AH3,"早班")</f>
        <v/>
      </c>
      <c r="AO3" s="4">
        <f>COUNTIF(D3:AH3,"早三")</f>
        <v/>
      </c>
      <c r="AP3" s="4">
        <f>COUNTIF(D3:AH3,"白班")</f>
        <v/>
      </c>
      <c r="AQ3" s="4">
        <f>COUNTIF(D3:AH3,"中三")</f>
        <v/>
      </c>
      <c r="AR3" s="4">
        <f>COUNTIF(D3:AH3,"中四")</f>
        <v/>
      </c>
      <c r="AS3" s="4">
        <f>COUNTIF(D3:AH3,"晚一")+COUNTIF(D3:AH3,"晚一
(IM)")</f>
        <v/>
      </c>
      <c r="AT3" s="4">
        <f>COUNTIF(D3:AH3,"晚二")</f>
        <v/>
      </c>
      <c r="AU3" s="4">
        <f>COUNTIF(D3:AH3,"大夜")</f>
        <v/>
      </c>
    </row>
    <row r="4" ht="33" customHeight="1">
      <c r="A4" s="4" t="inlineStr">
        <is>
          <t xml:space="preserve"> 曾瑾</t>
        </is>
      </c>
      <c r="B4" s="4" t="inlineStr">
        <is>
          <t>75103</t>
        </is>
      </c>
      <c r="C4" s="4" t="inlineStr">
        <is>
          <t>班长</t>
        </is>
      </c>
      <c r="D4" s="6" t="inlineStr">
        <is>
          <t>休</t>
        </is>
      </c>
      <c r="E4" s="6" t="inlineStr">
        <is>
          <t>休</t>
        </is>
      </c>
      <c r="F4" s="7" t="inlineStr">
        <is>
          <t>行政班</t>
        </is>
      </c>
      <c r="G4" s="7" t="inlineStr">
        <is>
          <t>行政班</t>
        </is>
      </c>
      <c r="H4" s="7" t="inlineStr">
        <is>
          <t>行政班</t>
        </is>
      </c>
      <c r="I4" s="7" t="inlineStr">
        <is>
          <t>行政班</t>
        </is>
      </c>
      <c r="J4" s="7" t="inlineStr">
        <is>
          <t>行政班</t>
        </is>
      </c>
      <c r="K4" s="6" t="inlineStr">
        <is>
          <t>休</t>
        </is>
      </c>
      <c r="L4" s="6" t="inlineStr">
        <is>
          <t>休</t>
        </is>
      </c>
      <c r="M4" s="7" t="inlineStr">
        <is>
          <t>行政班</t>
        </is>
      </c>
      <c r="N4" s="7" t="inlineStr">
        <is>
          <t>行政班</t>
        </is>
      </c>
      <c r="O4" s="7" t="inlineStr">
        <is>
          <t>行政班</t>
        </is>
      </c>
      <c r="P4" s="7" t="inlineStr">
        <is>
          <t>行政班</t>
        </is>
      </c>
      <c r="Q4" s="7" t="inlineStr">
        <is>
          <t>行政班</t>
        </is>
      </c>
      <c r="R4" s="6" t="inlineStr">
        <is>
          <t>休</t>
        </is>
      </c>
      <c r="S4" s="6" t="inlineStr">
        <is>
          <t>休</t>
        </is>
      </c>
      <c r="T4" s="7" t="inlineStr">
        <is>
          <t>行政班</t>
        </is>
      </c>
      <c r="U4" s="7" t="inlineStr">
        <is>
          <t>行政班</t>
        </is>
      </c>
      <c r="V4" s="7" t="inlineStr">
        <is>
          <t>行政班</t>
        </is>
      </c>
      <c r="W4" s="7" t="inlineStr">
        <is>
          <t>行政班</t>
        </is>
      </c>
      <c r="X4" s="7" t="inlineStr">
        <is>
          <t>行政班</t>
        </is>
      </c>
      <c r="Y4" s="6" t="inlineStr">
        <is>
          <t>休</t>
        </is>
      </c>
      <c r="Z4" s="6" t="inlineStr">
        <is>
          <t>休</t>
        </is>
      </c>
      <c r="AA4" s="7" t="inlineStr">
        <is>
          <t>行政班</t>
        </is>
      </c>
      <c r="AB4" s="7" t="inlineStr">
        <is>
          <t>行政班</t>
        </is>
      </c>
      <c r="AC4" s="7" t="inlineStr">
        <is>
          <t>行政班</t>
        </is>
      </c>
      <c r="AD4" s="7" t="inlineStr">
        <is>
          <t>行政班</t>
        </is>
      </c>
      <c r="AE4" s="7" t="inlineStr">
        <is>
          <t>行政班</t>
        </is>
      </c>
      <c r="AF4" s="6" t="inlineStr">
        <is>
          <t>休</t>
        </is>
      </c>
      <c r="AG4" s="6" t="inlineStr">
        <is>
          <t>休</t>
        </is>
      </c>
      <c r="AH4" s="7" t="inlineStr">
        <is>
          <t>行政班</t>
        </is>
      </c>
      <c r="AI4" s="4">
        <f>COUNTIF(D4:AH4,"休")+COUNTIF(D4:AH4,"请假")</f>
        <v/>
      </c>
      <c r="AJ4" s="4">
        <f>COUNTIF(E4:AH4,"行政班")</f>
        <v/>
      </c>
      <c r="AK4" s="4">
        <f>COUNTIF(E4:AH4,"白班
(机动)")</f>
        <v/>
      </c>
      <c r="AL4" s="4">
        <f>COUNTIF(E4:AH4,"晚二")</f>
        <v/>
      </c>
      <c r="AM4" s="4">
        <f>COUNTIF(D4:AH4,"早早班
(IM)")</f>
        <v/>
      </c>
      <c r="AN4" s="4">
        <f>COUNTIF(D4:AH4,"早班")</f>
        <v/>
      </c>
      <c r="AO4" s="4">
        <f>COUNTIF(D4:AH4,"早三")</f>
        <v/>
      </c>
      <c r="AP4" s="4">
        <f>COUNTIF(D4:AH4,"白班")</f>
        <v/>
      </c>
      <c r="AQ4" s="4">
        <f>COUNTIF(D4:AH4,"中三")</f>
        <v/>
      </c>
      <c r="AR4" s="4">
        <f>COUNTIF(D4:AH4,"中四")</f>
        <v/>
      </c>
      <c r="AS4" s="4">
        <f>COUNTIF(D4:AH4,"晚一")+COUNTIF(D4:AH4,"晚一
(IM)")</f>
        <v/>
      </c>
      <c r="AT4" s="4">
        <f>COUNTIF(D4:AH4,"晚二")</f>
        <v/>
      </c>
      <c r="AU4" s="4">
        <f>COUNTIF(D4:AH4,"大夜")</f>
        <v/>
      </c>
    </row>
    <row r="6" ht="33" customHeight="1">
      <c r="A6" s="4" t="inlineStr">
        <is>
          <t xml:space="preserve"> 陈佳慧</t>
        </is>
      </c>
      <c r="B6" s="4" t="inlineStr">
        <is>
          <t>32014</t>
        </is>
      </c>
      <c r="C6" s="4" t="inlineStr">
        <is>
          <t>专职分销</t>
        </is>
      </c>
      <c r="D6" s="8" t="inlineStr">
        <is>
          <t>早早班
(IM)</t>
        </is>
      </c>
      <c r="E6" s="8" t="inlineStr">
        <is>
          <t>晚一
(IM)</t>
        </is>
      </c>
      <c r="F6" s="8" t="inlineStr">
        <is>
          <t>晚一
(IM)</t>
        </is>
      </c>
      <c r="G6" s="8" t="inlineStr">
        <is>
          <t>晚一
(IM)</t>
        </is>
      </c>
      <c r="H6" s="6" t="inlineStr">
        <is>
          <t>休</t>
        </is>
      </c>
      <c r="I6" s="6" t="inlineStr">
        <is>
          <t>休</t>
        </is>
      </c>
      <c r="J6" s="8" t="inlineStr">
        <is>
          <t>早早班
(IM)</t>
        </is>
      </c>
      <c r="K6" s="8" t="inlineStr">
        <is>
          <t>早早班
(IM)</t>
        </is>
      </c>
      <c r="L6" s="8" t="inlineStr">
        <is>
          <t>晚一
(IM)</t>
        </is>
      </c>
      <c r="M6" s="8" t="inlineStr">
        <is>
          <t>晚一
(IM)</t>
        </is>
      </c>
      <c r="N6" s="6" t="inlineStr">
        <is>
          <t>休</t>
        </is>
      </c>
      <c r="O6" s="6" t="inlineStr">
        <is>
          <t>休</t>
        </is>
      </c>
      <c r="P6" s="8" t="inlineStr">
        <is>
          <t>早早班
(IM)</t>
        </is>
      </c>
      <c r="Q6" s="8" t="inlineStr">
        <is>
          <t>早早班
(IM)</t>
        </is>
      </c>
      <c r="R6" s="8" t="inlineStr">
        <is>
          <t>晚一
(IM)</t>
        </is>
      </c>
      <c r="S6" s="8" t="inlineStr">
        <is>
          <t>晚一
(IM)</t>
        </is>
      </c>
      <c r="T6" s="6" t="inlineStr">
        <is>
          <t>休</t>
        </is>
      </c>
      <c r="U6" s="6" t="inlineStr">
        <is>
          <t>休</t>
        </is>
      </c>
      <c r="V6" s="8" t="inlineStr">
        <is>
          <t>早早班
(IM)</t>
        </is>
      </c>
      <c r="W6" s="8" t="inlineStr">
        <is>
          <t>早早班
(IM)</t>
        </is>
      </c>
      <c r="X6" s="8" t="inlineStr">
        <is>
          <t>晚一
(IM)</t>
        </is>
      </c>
      <c r="Y6" s="8" t="inlineStr">
        <is>
          <t>晚一
(IM)</t>
        </is>
      </c>
      <c r="Z6" s="6" t="inlineStr">
        <is>
          <t>休</t>
        </is>
      </c>
      <c r="AA6" s="6" t="inlineStr">
        <is>
          <t>休</t>
        </is>
      </c>
      <c r="AB6" s="8" t="inlineStr">
        <is>
          <t>早早班
(IM)</t>
        </is>
      </c>
      <c r="AC6" s="8" t="inlineStr">
        <is>
          <t>早早班
(IM)</t>
        </is>
      </c>
      <c r="AD6" s="8" t="inlineStr">
        <is>
          <t>晚一
(IM)</t>
        </is>
      </c>
      <c r="AE6" s="8" t="inlineStr">
        <is>
          <t>晚一
(IM)</t>
        </is>
      </c>
      <c r="AF6" s="6" t="inlineStr">
        <is>
          <t>休</t>
        </is>
      </c>
      <c r="AG6" s="6" t="inlineStr">
        <is>
          <t>休</t>
        </is>
      </c>
      <c r="AH6" s="8" t="inlineStr">
        <is>
          <t>早早班
(IM)</t>
        </is>
      </c>
      <c r="AI6" s="4">
        <f>COUNTIF(D6:AH6,"休")+COUNTIF(D6:AH6,"请假")</f>
        <v/>
      </c>
      <c r="AJ6" s="4">
        <f>COUNTIF(E6:AH6,"行政班")</f>
        <v/>
      </c>
      <c r="AK6" s="4">
        <f>COUNTIF(E6:AH6,"白班
(机动)")</f>
        <v/>
      </c>
      <c r="AL6" s="4">
        <f>COUNTIF(E6:AH6,"晚二")</f>
        <v/>
      </c>
      <c r="AM6" s="4">
        <f>COUNTIF(D6:AH6,"早早班
(IM)")</f>
        <v/>
      </c>
      <c r="AN6" s="4">
        <f>COUNTIF(D6:AH6,"早班")</f>
        <v/>
      </c>
      <c r="AO6" s="4">
        <f>COUNTIF(D6:AH6,"早三")</f>
        <v/>
      </c>
      <c r="AP6" s="4">
        <f>COUNTIF(D6:AH6,"白班")</f>
        <v/>
      </c>
      <c r="AQ6" s="4">
        <f>COUNTIF(D6:AH6,"中三")</f>
        <v/>
      </c>
      <c r="AR6" s="4">
        <f>COUNTIF(D6:AH6,"中四")</f>
        <v/>
      </c>
      <c r="AS6" s="4">
        <f>COUNTIF(D6:AH6,"晚一")+COUNTIF(D6:AH6,"晚一
(IM)")</f>
        <v/>
      </c>
      <c r="AT6" s="4">
        <f>COUNTIF(D6:AH6,"晚二")</f>
        <v/>
      </c>
      <c r="AU6" s="4">
        <f>COUNTIF(D6:AH6,"大夜")</f>
        <v/>
      </c>
    </row>
    <row r="7" ht="33" customHeight="1">
      <c r="A7" s="4" t="inlineStr">
        <is>
          <t xml:space="preserve"> 魏溪</t>
        </is>
      </c>
      <c r="B7" s="4" t="inlineStr">
        <is>
          <t>75105</t>
        </is>
      </c>
      <c r="C7" s="4" t="inlineStr">
        <is>
          <t>专职分销</t>
        </is>
      </c>
      <c r="D7" s="9" t="inlineStr">
        <is>
          <t>白班
(机动)</t>
        </is>
      </c>
      <c r="E7" s="8" t="inlineStr">
        <is>
          <t>早早班
(IM)</t>
        </is>
      </c>
      <c r="F7" s="6" t="inlineStr">
        <is>
          <t>休</t>
        </is>
      </c>
      <c r="G7" s="6" t="inlineStr">
        <is>
          <t>休</t>
        </is>
      </c>
      <c r="H7" s="8" t="inlineStr">
        <is>
          <t>早早班
(IM)</t>
        </is>
      </c>
      <c r="I7" s="8" t="inlineStr">
        <is>
          <t>早早班
(IM)</t>
        </is>
      </c>
      <c r="J7" s="8" t="inlineStr">
        <is>
          <t>晚一
(IM)</t>
        </is>
      </c>
      <c r="K7" s="8" t="inlineStr">
        <is>
          <t>晚一
(IM)</t>
        </is>
      </c>
      <c r="L7" s="6" t="inlineStr">
        <is>
          <t>休</t>
        </is>
      </c>
      <c r="M7" s="6" t="inlineStr">
        <is>
          <t>休</t>
        </is>
      </c>
      <c r="N7" s="8" t="inlineStr">
        <is>
          <t>早早班
(IM)</t>
        </is>
      </c>
      <c r="O7" s="8" t="inlineStr">
        <is>
          <t>早早班
(IM)</t>
        </is>
      </c>
      <c r="P7" s="8" t="inlineStr">
        <is>
          <t>晚一
(IM)</t>
        </is>
      </c>
      <c r="Q7" s="8" t="inlineStr">
        <is>
          <t>晚一
(IM)</t>
        </is>
      </c>
      <c r="R7" s="6" t="inlineStr">
        <is>
          <t>休</t>
        </is>
      </c>
      <c r="S7" s="6" t="inlineStr">
        <is>
          <t>休</t>
        </is>
      </c>
      <c r="T7" s="8" t="inlineStr">
        <is>
          <t>早早班
(IM)</t>
        </is>
      </c>
      <c r="U7" s="8" t="inlineStr">
        <is>
          <t>早早班
(IM)</t>
        </is>
      </c>
      <c r="V7" s="8" t="inlineStr">
        <is>
          <t>晚一
(IM)</t>
        </is>
      </c>
      <c r="W7" s="8" t="inlineStr">
        <is>
          <t>晚一
(IM)</t>
        </is>
      </c>
      <c r="X7" s="6" t="inlineStr">
        <is>
          <t>休</t>
        </is>
      </c>
      <c r="Y7" s="6" t="inlineStr">
        <is>
          <t>休</t>
        </is>
      </c>
      <c r="Z7" s="8" t="inlineStr">
        <is>
          <t>早早班
(IM)</t>
        </is>
      </c>
      <c r="AA7" s="8" t="inlineStr">
        <is>
          <t>早早班
(IM)</t>
        </is>
      </c>
      <c r="AB7" s="8" t="inlineStr">
        <is>
          <t>晚一
(IM)</t>
        </is>
      </c>
      <c r="AC7" s="8" t="inlineStr">
        <is>
          <t>晚一
(IM)</t>
        </is>
      </c>
      <c r="AD7" s="6" t="inlineStr">
        <is>
          <t>休</t>
        </is>
      </c>
      <c r="AE7" s="6" t="inlineStr">
        <is>
          <t>休</t>
        </is>
      </c>
      <c r="AF7" s="8" t="inlineStr">
        <is>
          <t>早早班
(IM)</t>
        </is>
      </c>
      <c r="AG7" s="8" t="inlineStr">
        <is>
          <t>早早班
(IM)</t>
        </is>
      </c>
      <c r="AH7" s="8" t="inlineStr">
        <is>
          <t>晚一
(IM)</t>
        </is>
      </c>
      <c r="AI7" s="4">
        <f>COUNTIF(D7:AH7,"休")+COUNTIF(D7:AH7,"请假")</f>
        <v/>
      </c>
      <c r="AJ7" s="4">
        <f>COUNTIF(E7:AH7,"行政班")</f>
        <v/>
      </c>
      <c r="AK7" s="4">
        <f>COUNTIF(E7:AH7,"白班
(机动)")</f>
        <v/>
      </c>
      <c r="AL7" s="4">
        <f>COUNTIF(E7:AH7,"晚二")</f>
        <v/>
      </c>
      <c r="AM7" s="4">
        <f>COUNTIF(D7:AH7,"早早班
(IM)")</f>
        <v/>
      </c>
      <c r="AN7" s="4">
        <f>COUNTIF(D7:AH7,"早班")</f>
        <v/>
      </c>
      <c r="AO7" s="4">
        <f>COUNTIF(D7:AH7,"早三")</f>
        <v/>
      </c>
      <c r="AP7" s="4">
        <f>COUNTIF(D7:AH7,"白班")</f>
        <v/>
      </c>
      <c r="AQ7" s="4">
        <f>COUNTIF(D7:AH7,"中三")</f>
        <v/>
      </c>
      <c r="AR7" s="4">
        <f>COUNTIF(D7:AH7,"中四")</f>
        <v/>
      </c>
      <c r="AS7" s="4">
        <f>COUNTIF(D7:AH7,"晚一")+COUNTIF(D7:AH7,"晚一
(IM)")</f>
        <v/>
      </c>
      <c r="AT7" s="4">
        <f>COUNTIF(D7:AH7,"晚二")</f>
        <v/>
      </c>
      <c r="AU7" s="4">
        <f>COUNTIF(D7:AH7,"大夜")</f>
        <v/>
      </c>
    </row>
    <row r="8" ht="33" customHeight="1">
      <c r="A8" s="4" t="inlineStr">
        <is>
          <t xml:space="preserve"> 李珂</t>
        </is>
      </c>
      <c r="B8" s="4" t="inlineStr">
        <is>
          <t>63171</t>
        </is>
      </c>
      <c r="C8" s="4" t="inlineStr">
        <is>
          <t>专职分销</t>
        </is>
      </c>
      <c r="D8" s="8" t="inlineStr">
        <is>
          <t>晚一
(IM)</t>
        </is>
      </c>
      <c r="E8" s="6" t="inlineStr">
        <is>
          <t>休</t>
        </is>
      </c>
      <c r="F8" s="8" t="inlineStr">
        <is>
          <t>早早班
(IM)</t>
        </is>
      </c>
      <c r="G8" s="8" t="inlineStr">
        <is>
          <t>早早班
(IM)</t>
        </is>
      </c>
      <c r="H8" s="8" t="inlineStr">
        <is>
          <t>晚一
(IM)</t>
        </is>
      </c>
      <c r="I8" s="8" t="inlineStr">
        <is>
          <t>晚一
(IM)</t>
        </is>
      </c>
      <c r="J8" s="6" t="inlineStr">
        <is>
          <t>休</t>
        </is>
      </c>
      <c r="K8" s="6" t="inlineStr">
        <is>
          <t>休</t>
        </is>
      </c>
      <c r="L8" s="8" t="inlineStr">
        <is>
          <t>早早班
(IM)</t>
        </is>
      </c>
      <c r="M8" s="8" t="inlineStr">
        <is>
          <t>早早班
(IM)</t>
        </is>
      </c>
      <c r="N8" s="8" t="inlineStr">
        <is>
          <t>晚一
(IM)</t>
        </is>
      </c>
      <c r="O8" s="8" t="inlineStr">
        <is>
          <t>晚一
(IM)</t>
        </is>
      </c>
      <c r="P8" s="6" t="inlineStr">
        <is>
          <t>休</t>
        </is>
      </c>
      <c r="Q8" s="6" t="inlineStr">
        <is>
          <t>休</t>
        </is>
      </c>
      <c r="R8" s="8" t="inlineStr">
        <is>
          <t>早早班
(IM)</t>
        </is>
      </c>
      <c r="S8" s="8" t="inlineStr">
        <is>
          <t>早早班
(IM)</t>
        </is>
      </c>
      <c r="T8" s="8" t="inlineStr">
        <is>
          <t>晚一
(IM)</t>
        </is>
      </c>
      <c r="U8" s="8" t="inlineStr">
        <is>
          <t>晚一
(IM)</t>
        </is>
      </c>
      <c r="V8" s="6" t="inlineStr">
        <is>
          <t>休</t>
        </is>
      </c>
      <c r="W8" s="6" t="inlineStr">
        <is>
          <t>休</t>
        </is>
      </c>
      <c r="X8" s="8" t="inlineStr">
        <is>
          <t>早早班
(IM)</t>
        </is>
      </c>
      <c r="Y8" s="8" t="inlineStr">
        <is>
          <t>早早班
(IM)</t>
        </is>
      </c>
      <c r="Z8" s="8" t="inlineStr">
        <is>
          <t>晚一
(IM)</t>
        </is>
      </c>
      <c r="AA8" s="8" t="inlineStr">
        <is>
          <t>晚一
(IM)</t>
        </is>
      </c>
      <c r="AB8" s="6" t="inlineStr">
        <is>
          <t>休</t>
        </is>
      </c>
      <c r="AC8" s="6" t="inlineStr">
        <is>
          <t>休</t>
        </is>
      </c>
      <c r="AD8" s="8" t="inlineStr">
        <is>
          <t>早早班
(IM)</t>
        </is>
      </c>
      <c r="AE8" s="8" t="inlineStr">
        <is>
          <t>早早班
(IM)</t>
        </is>
      </c>
      <c r="AF8" s="8" t="inlineStr">
        <is>
          <t>晚一
(IM)</t>
        </is>
      </c>
      <c r="AG8" s="8" t="inlineStr">
        <is>
          <t>晚一
(IM)</t>
        </is>
      </c>
      <c r="AH8" s="6" t="inlineStr">
        <is>
          <t>休</t>
        </is>
      </c>
      <c r="AI8" s="4">
        <f>COUNTIF(D8:AH8,"休")+COUNTIF(D8:AH8,"请假")</f>
        <v/>
      </c>
      <c r="AJ8" s="4">
        <f>COUNTIF(E8:AH8,"行政班")</f>
        <v/>
      </c>
      <c r="AK8" s="4">
        <f>COUNTIF(E8:AH8,"白班
(机动)")</f>
        <v/>
      </c>
      <c r="AL8" s="4">
        <f>COUNTIF(E8:AH8,"晚二")</f>
        <v/>
      </c>
      <c r="AM8" s="4">
        <f>COUNTIF(D8:AH8,"早早班
(IM)")</f>
        <v/>
      </c>
      <c r="AN8" s="4">
        <f>COUNTIF(D8:AH8,"早班")</f>
        <v/>
      </c>
      <c r="AO8" s="4">
        <f>COUNTIF(D8:AH8,"早三")</f>
        <v/>
      </c>
      <c r="AP8" s="4">
        <f>COUNTIF(D8:AH8,"白班")</f>
        <v/>
      </c>
      <c r="AQ8" s="4">
        <f>COUNTIF(D8:AH8,"中三")</f>
        <v/>
      </c>
      <c r="AR8" s="4">
        <f>COUNTIF(D8:AH8,"中四")</f>
        <v/>
      </c>
      <c r="AS8" s="4">
        <f>COUNTIF(D8:AH8,"晚一")+COUNTIF(D8:AH8,"晚一
(IM)")</f>
        <v/>
      </c>
      <c r="AT8" s="4">
        <f>COUNTIF(D8:AH8,"晚二")</f>
        <v/>
      </c>
      <c r="AU8" s="4">
        <f>COUNTIF(D8:AH8,"大夜")</f>
        <v/>
      </c>
    </row>
    <row r="10" ht="33" customHeight="1">
      <c r="A10" s="4" t="inlineStr">
        <is>
          <t xml:space="preserve"> 张玉婕</t>
        </is>
      </c>
      <c r="B10" s="4" t="inlineStr">
        <is>
          <t>63885</t>
        </is>
      </c>
      <c r="C10" s="4" t="inlineStr">
        <is>
          <t>专职大夜</t>
        </is>
      </c>
      <c r="D10" s="5" t="inlineStr">
        <is>
          <t>大夜</t>
        </is>
      </c>
      <c r="E10" s="6" t="inlineStr">
        <is>
          <t>休</t>
        </is>
      </c>
      <c r="F10" s="6" t="inlineStr">
        <is>
          <t>休</t>
        </is>
      </c>
      <c r="G10" s="5" t="inlineStr">
        <is>
          <t>大夜</t>
        </is>
      </c>
      <c r="H10" s="5" t="inlineStr">
        <is>
          <t>大夜</t>
        </is>
      </c>
      <c r="I10" s="6" t="inlineStr">
        <is>
          <t>休</t>
        </is>
      </c>
      <c r="J10" s="6" t="inlineStr">
        <is>
          <t>休</t>
        </is>
      </c>
      <c r="K10" s="5" t="inlineStr">
        <is>
          <t>大夜</t>
        </is>
      </c>
      <c r="L10" s="5" t="inlineStr">
        <is>
          <t>大夜</t>
        </is>
      </c>
      <c r="M10" s="6" t="inlineStr">
        <is>
          <t>休</t>
        </is>
      </c>
      <c r="N10" s="6" t="inlineStr">
        <is>
          <t>休</t>
        </is>
      </c>
      <c r="O10" s="5" t="inlineStr">
        <is>
          <t>大夜</t>
        </is>
      </c>
      <c r="P10" s="5" t="inlineStr">
        <is>
          <t>大夜</t>
        </is>
      </c>
      <c r="Q10" s="6" t="inlineStr">
        <is>
          <t>休</t>
        </is>
      </c>
      <c r="R10" s="6" t="inlineStr">
        <is>
          <t>休</t>
        </is>
      </c>
      <c r="S10" s="5" t="inlineStr">
        <is>
          <t>大夜</t>
        </is>
      </c>
      <c r="T10" s="5" t="inlineStr">
        <is>
          <t>大夜</t>
        </is>
      </c>
      <c r="U10" s="6" t="inlineStr">
        <is>
          <t>休</t>
        </is>
      </c>
      <c r="V10" s="6" t="inlineStr">
        <is>
          <t>休</t>
        </is>
      </c>
      <c r="W10" s="5" t="inlineStr">
        <is>
          <t>大夜</t>
        </is>
      </c>
      <c r="X10" s="5" t="inlineStr">
        <is>
          <t>大夜</t>
        </is>
      </c>
      <c r="Y10" s="6" t="inlineStr">
        <is>
          <t>休</t>
        </is>
      </c>
      <c r="Z10" s="6" t="inlineStr">
        <is>
          <t>休</t>
        </is>
      </c>
      <c r="AA10" s="5" t="inlineStr">
        <is>
          <t>大夜</t>
        </is>
      </c>
      <c r="AB10" s="5" t="inlineStr">
        <is>
          <t>大夜</t>
        </is>
      </c>
      <c r="AC10" s="6" t="inlineStr">
        <is>
          <t>休</t>
        </is>
      </c>
      <c r="AD10" s="6" t="inlineStr">
        <is>
          <t>休</t>
        </is>
      </c>
      <c r="AE10" s="5" t="inlineStr">
        <is>
          <t>大夜</t>
        </is>
      </c>
      <c r="AF10" s="5" t="inlineStr">
        <is>
          <t>大夜</t>
        </is>
      </c>
      <c r="AG10" s="6" t="inlineStr">
        <is>
          <t>休</t>
        </is>
      </c>
      <c r="AH10" s="6" t="inlineStr">
        <is>
          <t>休</t>
        </is>
      </c>
      <c r="AI10" s="4">
        <f>COUNTIF(D10:AH10,"休")+COUNTIF(D10:AH10,"请假")</f>
        <v/>
      </c>
      <c r="AJ10" s="4">
        <f>COUNTIF(E10:AH10,"行政班")</f>
        <v/>
      </c>
      <c r="AK10" s="4">
        <f>COUNTIF(E10:AH10,"白班
(机动)")</f>
        <v/>
      </c>
      <c r="AL10" s="4">
        <f>COUNTIF(E10:AH10,"晚二")</f>
        <v/>
      </c>
      <c r="AM10" s="4">
        <f>COUNTIF(D10:AH10,"早早班
(IM)")</f>
        <v/>
      </c>
      <c r="AN10" s="4">
        <f>COUNTIF(D10:AH10,"早班")</f>
        <v/>
      </c>
      <c r="AO10" s="4">
        <f>COUNTIF(D10:AH10,"早三")</f>
        <v/>
      </c>
      <c r="AP10" s="4">
        <f>COUNTIF(D10:AH10,"白班")</f>
        <v/>
      </c>
      <c r="AQ10" s="4">
        <f>COUNTIF(D10:AH10,"中三")</f>
        <v/>
      </c>
      <c r="AR10" s="4">
        <f>COUNTIF(D10:AH10,"中四")</f>
        <v/>
      </c>
      <c r="AS10" s="4">
        <f>COUNTIF(D10:AH10,"晚一")+COUNTIF(D10:AH10,"晚一
(IM)")</f>
        <v/>
      </c>
      <c r="AT10" s="4">
        <f>COUNTIF(D10:AH10,"晚二")</f>
        <v/>
      </c>
      <c r="AU10" s="4">
        <f>COUNTIF(D10:AH10,"大夜")</f>
        <v/>
      </c>
    </row>
    <row r="11" ht="33" customHeight="1">
      <c r="A11" s="4" t="inlineStr">
        <is>
          <t xml:space="preserve"> 周妙笛</t>
        </is>
      </c>
      <c r="B11" s="4" t="inlineStr">
        <is>
          <t>32054</t>
        </is>
      </c>
      <c r="C11" s="4" t="inlineStr">
        <is>
          <t>专职大夜</t>
        </is>
      </c>
      <c r="D11" s="6" t="inlineStr">
        <is>
          <t>休</t>
        </is>
      </c>
      <c r="E11" s="6" t="inlineStr">
        <is>
          <t>休</t>
        </is>
      </c>
      <c r="F11" s="5" t="inlineStr">
        <is>
          <t>大夜</t>
        </is>
      </c>
      <c r="G11" s="5" t="inlineStr">
        <is>
          <t>大夜</t>
        </is>
      </c>
      <c r="H11" s="6" t="inlineStr">
        <is>
          <t>休</t>
        </is>
      </c>
      <c r="I11" s="6" t="inlineStr">
        <is>
          <t>休</t>
        </is>
      </c>
      <c r="J11" s="5" t="inlineStr">
        <is>
          <t>大夜</t>
        </is>
      </c>
      <c r="K11" s="5" t="inlineStr">
        <is>
          <t>大夜</t>
        </is>
      </c>
      <c r="L11" s="6" t="inlineStr">
        <is>
          <t>休</t>
        </is>
      </c>
      <c r="M11" s="6" t="inlineStr">
        <is>
          <t>休</t>
        </is>
      </c>
      <c r="N11" s="5" t="inlineStr">
        <is>
          <t>大夜</t>
        </is>
      </c>
      <c r="O11" s="5" t="inlineStr">
        <is>
          <t>大夜</t>
        </is>
      </c>
      <c r="P11" s="6" t="inlineStr">
        <is>
          <t>休</t>
        </is>
      </c>
      <c r="Q11" s="6" t="inlineStr">
        <is>
          <t>休</t>
        </is>
      </c>
      <c r="R11" s="5" t="inlineStr">
        <is>
          <t>大夜</t>
        </is>
      </c>
      <c r="S11" s="5" t="inlineStr">
        <is>
          <t>大夜</t>
        </is>
      </c>
      <c r="T11" s="6" t="inlineStr">
        <is>
          <t>休</t>
        </is>
      </c>
      <c r="U11" s="6" t="inlineStr">
        <is>
          <t>休</t>
        </is>
      </c>
      <c r="V11" s="5" t="inlineStr">
        <is>
          <t>大夜</t>
        </is>
      </c>
      <c r="W11" s="5" t="inlineStr">
        <is>
          <t>大夜</t>
        </is>
      </c>
      <c r="X11" s="6" t="inlineStr">
        <is>
          <t>休</t>
        </is>
      </c>
      <c r="Y11" s="6" t="inlineStr">
        <is>
          <t>休</t>
        </is>
      </c>
      <c r="Z11" s="5" t="inlineStr">
        <is>
          <t>大夜</t>
        </is>
      </c>
      <c r="AA11" s="5" t="inlineStr">
        <is>
          <t>大夜</t>
        </is>
      </c>
      <c r="AB11" s="6" t="inlineStr">
        <is>
          <t>休</t>
        </is>
      </c>
      <c r="AC11" s="6" t="inlineStr">
        <is>
          <t>休</t>
        </is>
      </c>
      <c r="AD11" s="5" t="inlineStr">
        <is>
          <t>大夜</t>
        </is>
      </c>
      <c r="AE11" s="5" t="inlineStr">
        <is>
          <t>大夜</t>
        </is>
      </c>
      <c r="AF11" s="6" t="inlineStr">
        <is>
          <t>休</t>
        </is>
      </c>
      <c r="AG11" s="6" t="inlineStr">
        <is>
          <t>休</t>
        </is>
      </c>
      <c r="AH11" s="5" t="inlineStr">
        <is>
          <t>大夜</t>
        </is>
      </c>
      <c r="AI11" s="4">
        <f>COUNTIF(D11:AH11,"休")+COUNTIF(D11:AH11,"请假")</f>
        <v/>
      </c>
      <c r="AJ11" s="4">
        <f>COUNTIF(E11:AH11,"行政班")</f>
        <v/>
      </c>
      <c r="AK11" s="4">
        <f>COUNTIF(E11:AH11,"白班
(机动)")</f>
        <v/>
      </c>
      <c r="AL11" s="4">
        <f>COUNTIF(E11:AH11,"晚二")</f>
        <v/>
      </c>
      <c r="AM11" s="4">
        <f>COUNTIF(D11:AH11,"早早班
(IM)")</f>
        <v/>
      </c>
      <c r="AN11" s="4">
        <f>COUNTIF(D11:AH11,"早班")</f>
        <v/>
      </c>
      <c r="AO11" s="4">
        <f>COUNTIF(D11:AH11,"早三")</f>
        <v/>
      </c>
      <c r="AP11" s="4">
        <f>COUNTIF(D11:AH11,"白班")</f>
        <v/>
      </c>
      <c r="AQ11" s="4">
        <f>COUNTIF(D11:AH11,"中三")</f>
        <v/>
      </c>
      <c r="AR11" s="4">
        <f>COUNTIF(D11:AH11,"中四")</f>
        <v/>
      </c>
      <c r="AS11" s="4">
        <f>COUNTIF(D11:AH11,"晚一")+COUNTIF(D11:AH11,"晚一
(IM)")</f>
        <v/>
      </c>
      <c r="AT11" s="4">
        <f>COUNTIF(D11:AH11,"晚二")</f>
        <v/>
      </c>
      <c r="AU11" s="4">
        <f>COUNTIF(D11:AH11,"大夜")</f>
        <v/>
      </c>
    </row>
    <row r="12" ht="33" customHeight="1">
      <c r="A12" s="4" t="inlineStr">
        <is>
          <t xml:space="preserve"> 王欣怡</t>
        </is>
      </c>
      <c r="B12" s="4" t="inlineStr">
        <is>
          <t>63898</t>
        </is>
      </c>
      <c r="C12" s="4" t="inlineStr">
        <is>
          <t>专职大夜</t>
        </is>
      </c>
      <c r="D12" s="6" t="inlineStr">
        <is>
          <t>休</t>
        </is>
      </c>
      <c r="E12" s="5" t="inlineStr">
        <is>
          <t>大夜</t>
        </is>
      </c>
      <c r="F12" s="5" t="inlineStr">
        <is>
          <t>大夜</t>
        </is>
      </c>
      <c r="G12" s="6" t="inlineStr">
        <is>
          <t>休</t>
        </is>
      </c>
      <c r="H12" s="6" t="inlineStr">
        <is>
          <t>休</t>
        </is>
      </c>
      <c r="I12" s="5" t="inlineStr">
        <is>
          <t>大夜</t>
        </is>
      </c>
      <c r="J12" s="5" t="inlineStr">
        <is>
          <t>大夜</t>
        </is>
      </c>
      <c r="K12" s="6" t="inlineStr">
        <is>
          <t>休</t>
        </is>
      </c>
      <c r="L12" s="6" t="inlineStr">
        <is>
          <t>休</t>
        </is>
      </c>
      <c r="M12" s="5" t="inlineStr">
        <is>
          <t>大夜</t>
        </is>
      </c>
      <c r="N12" s="5" t="inlineStr">
        <is>
          <t>大夜</t>
        </is>
      </c>
      <c r="O12" s="6" t="inlineStr">
        <is>
          <t>休</t>
        </is>
      </c>
      <c r="P12" s="6" t="inlineStr">
        <is>
          <t>休</t>
        </is>
      </c>
      <c r="Q12" s="5" t="inlineStr">
        <is>
          <t>大夜</t>
        </is>
      </c>
      <c r="R12" s="5" t="inlineStr">
        <is>
          <t>大夜</t>
        </is>
      </c>
      <c r="S12" s="6" t="inlineStr">
        <is>
          <t>休</t>
        </is>
      </c>
      <c r="T12" s="6" t="inlineStr">
        <is>
          <t>休</t>
        </is>
      </c>
      <c r="U12" s="5" t="inlineStr">
        <is>
          <t>大夜</t>
        </is>
      </c>
      <c r="V12" s="5" t="inlineStr">
        <is>
          <t>大夜</t>
        </is>
      </c>
      <c r="W12" s="6" t="inlineStr">
        <is>
          <t>休</t>
        </is>
      </c>
      <c r="X12" s="6" t="inlineStr">
        <is>
          <t>休</t>
        </is>
      </c>
      <c r="Y12" s="5" t="inlineStr">
        <is>
          <t>大夜</t>
        </is>
      </c>
      <c r="Z12" s="5" t="inlineStr">
        <is>
          <t>大夜</t>
        </is>
      </c>
      <c r="AA12" s="6" t="inlineStr">
        <is>
          <t>休</t>
        </is>
      </c>
      <c r="AB12" s="6" t="inlineStr">
        <is>
          <t>休</t>
        </is>
      </c>
      <c r="AC12" s="5" t="inlineStr">
        <is>
          <t>大夜</t>
        </is>
      </c>
      <c r="AD12" s="5" t="inlineStr">
        <is>
          <t>大夜</t>
        </is>
      </c>
      <c r="AE12" s="6" t="inlineStr">
        <is>
          <t>休</t>
        </is>
      </c>
      <c r="AF12" s="6" t="inlineStr">
        <is>
          <t>休</t>
        </is>
      </c>
      <c r="AG12" s="5" t="inlineStr">
        <is>
          <t>大夜</t>
        </is>
      </c>
      <c r="AH12" s="5" t="inlineStr">
        <is>
          <t>大夜</t>
        </is>
      </c>
      <c r="AI12" s="4">
        <f>COUNTIF(D12:AH12,"休")+COUNTIF(D12:AH12,"请假")</f>
        <v/>
      </c>
      <c r="AJ12" s="4">
        <f>COUNTIF(E12:AH12,"行政班")</f>
        <v/>
      </c>
      <c r="AK12" s="4">
        <f>COUNTIF(E12:AH12,"白班
(机动)")</f>
        <v/>
      </c>
      <c r="AL12" s="4">
        <f>COUNTIF(E12:AH12,"晚二")</f>
        <v/>
      </c>
      <c r="AM12" s="4">
        <f>COUNTIF(D12:AH12,"早早班
(IM)")</f>
        <v/>
      </c>
      <c r="AN12" s="4">
        <f>COUNTIF(D12:AH12,"早班")</f>
        <v/>
      </c>
      <c r="AO12" s="4">
        <f>COUNTIF(D12:AH12,"早三")</f>
        <v/>
      </c>
      <c r="AP12" s="4">
        <f>COUNTIF(D12:AH12,"白班")</f>
        <v/>
      </c>
      <c r="AQ12" s="4">
        <f>COUNTIF(D12:AH12,"中三")</f>
        <v/>
      </c>
      <c r="AR12" s="4">
        <f>COUNTIF(D12:AH12,"中四")</f>
        <v/>
      </c>
      <c r="AS12" s="4">
        <f>COUNTIF(D12:AH12,"晚一")+COUNTIF(D12:AH12,"晚一
(IM)")</f>
        <v/>
      </c>
      <c r="AT12" s="4">
        <f>COUNTIF(D12:AH12,"晚二")</f>
        <v/>
      </c>
      <c r="AU12" s="4">
        <f>COUNTIF(D12:AH12,"大夜")</f>
        <v/>
      </c>
    </row>
    <row r="13" ht="33" customHeight="1">
      <c r="A13" s="4" t="inlineStr">
        <is>
          <t xml:space="preserve"> 富惟佳</t>
        </is>
      </c>
      <c r="B13" s="4" t="inlineStr">
        <is>
          <t>63845</t>
        </is>
      </c>
      <c r="C13" s="4" t="inlineStr">
        <is>
          <t>专职大夜</t>
        </is>
      </c>
      <c r="D13" s="5" t="inlineStr">
        <is>
          <t>大夜</t>
        </is>
      </c>
      <c r="E13" s="5" t="inlineStr">
        <is>
          <t>大夜</t>
        </is>
      </c>
      <c r="F13" s="6" t="inlineStr">
        <is>
          <t>休</t>
        </is>
      </c>
      <c r="G13" s="6" t="inlineStr">
        <is>
          <t>休</t>
        </is>
      </c>
      <c r="H13" s="5" t="inlineStr">
        <is>
          <t>大夜</t>
        </is>
      </c>
      <c r="I13" s="5" t="inlineStr">
        <is>
          <t>大夜</t>
        </is>
      </c>
      <c r="J13" s="6" t="inlineStr">
        <is>
          <t>休</t>
        </is>
      </c>
      <c r="K13" s="6" t="inlineStr">
        <is>
          <t>休</t>
        </is>
      </c>
      <c r="L13" s="5" t="inlineStr">
        <is>
          <t>大夜</t>
        </is>
      </c>
      <c r="M13" s="5" t="inlineStr">
        <is>
          <t>大夜</t>
        </is>
      </c>
      <c r="N13" s="6" t="inlineStr">
        <is>
          <t>休</t>
        </is>
      </c>
      <c r="O13" s="6" t="inlineStr">
        <is>
          <t>休</t>
        </is>
      </c>
      <c r="P13" s="5" t="inlineStr">
        <is>
          <t>大夜</t>
        </is>
      </c>
      <c r="Q13" s="5" t="inlineStr">
        <is>
          <t>大夜</t>
        </is>
      </c>
      <c r="R13" s="6" t="inlineStr">
        <is>
          <t>休</t>
        </is>
      </c>
      <c r="S13" s="6" t="inlineStr">
        <is>
          <t>休</t>
        </is>
      </c>
      <c r="T13" s="5" t="inlineStr">
        <is>
          <t>大夜</t>
        </is>
      </c>
      <c r="U13" s="5" t="inlineStr">
        <is>
          <t>大夜</t>
        </is>
      </c>
      <c r="V13" s="6" t="inlineStr">
        <is>
          <t>休</t>
        </is>
      </c>
      <c r="W13" s="6" t="inlineStr">
        <is>
          <t>休</t>
        </is>
      </c>
      <c r="X13" s="5" t="inlineStr">
        <is>
          <t>大夜</t>
        </is>
      </c>
      <c r="Y13" s="5" t="inlineStr">
        <is>
          <t>大夜</t>
        </is>
      </c>
      <c r="Z13" s="6" t="inlineStr">
        <is>
          <t>休</t>
        </is>
      </c>
      <c r="AA13" s="6" t="inlineStr">
        <is>
          <t>休</t>
        </is>
      </c>
      <c r="AB13" s="5" t="inlineStr">
        <is>
          <t>大夜</t>
        </is>
      </c>
      <c r="AC13" s="5" t="inlineStr">
        <is>
          <t>大夜</t>
        </is>
      </c>
      <c r="AD13" s="6" t="inlineStr">
        <is>
          <t>休</t>
        </is>
      </c>
      <c r="AE13" s="6" t="inlineStr">
        <is>
          <t>休</t>
        </is>
      </c>
      <c r="AF13" s="5" t="inlineStr">
        <is>
          <t>大夜</t>
        </is>
      </c>
      <c r="AG13" s="5" t="inlineStr">
        <is>
          <t>大夜</t>
        </is>
      </c>
      <c r="AH13" s="6" t="inlineStr">
        <is>
          <t>休</t>
        </is>
      </c>
      <c r="AI13" s="4">
        <f>COUNTIF(D13:AH13,"休")+COUNTIF(D13:AH13,"请假")</f>
        <v/>
      </c>
      <c r="AJ13" s="4">
        <f>COUNTIF(E13:AH13,"行政班")</f>
        <v/>
      </c>
      <c r="AK13" s="4">
        <f>COUNTIF(E13:AH13,"白班
(机动)")</f>
        <v/>
      </c>
      <c r="AL13" s="4">
        <f>COUNTIF(E13:AH13,"晚二")</f>
        <v/>
      </c>
      <c r="AM13" s="4">
        <f>COUNTIF(D13:AH13,"早早班
(IM)")</f>
        <v/>
      </c>
      <c r="AN13" s="4">
        <f>COUNTIF(D13:AH13,"早班")</f>
        <v/>
      </c>
      <c r="AO13" s="4">
        <f>COUNTIF(D13:AH13,"早三")</f>
        <v/>
      </c>
      <c r="AP13" s="4">
        <f>COUNTIF(D13:AH13,"白班")</f>
        <v/>
      </c>
      <c r="AQ13" s="4">
        <f>COUNTIF(D13:AH13,"中三")</f>
        <v/>
      </c>
      <c r="AR13" s="4">
        <f>COUNTIF(D13:AH13,"中四")</f>
        <v/>
      </c>
      <c r="AS13" s="4">
        <f>COUNTIF(D13:AH13,"晚一")+COUNTIF(D13:AH13,"晚一
(IM)")</f>
        <v/>
      </c>
      <c r="AT13" s="4">
        <f>COUNTIF(D13:AH13,"晚二")</f>
        <v/>
      </c>
      <c r="AU13" s="4">
        <f>COUNTIF(D13:AH13,"大夜")</f>
        <v/>
      </c>
    </row>
    <row r="15" ht="33" customHeight="1">
      <c r="A15" s="4" t="inlineStr">
        <is>
          <t xml:space="preserve"> 舒丹</t>
        </is>
      </c>
      <c r="B15" s="4" t="inlineStr">
        <is>
          <t>63661</t>
        </is>
      </c>
      <c r="C15" s="4" t="inlineStr">
        <is>
          <t>在线</t>
        </is>
      </c>
      <c r="D15" s="6" t="inlineStr">
        <is>
          <t>休</t>
        </is>
      </c>
      <c r="E15" s="6" t="inlineStr">
        <is>
          <t>休</t>
        </is>
      </c>
      <c r="F15" s="7" t="inlineStr">
        <is>
          <t>行政班</t>
        </is>
      </c>
      <c r="G15" s="7" t="inlineStr">
        <is>
          <t>行政班</t>
        </is>
      </c>
      <c r="H15" s="7" t="inlineStr">
        <is>
          <t>行政班</t>
        </is>
      </c>
      <c r="I15" s="7" t="inlineStr">
        <is>
          <t>行政班</t>
        </is>
      </c>
      <c r="J15" s="7" t="inlineStr">
        <is>
          <t>行政班</t>
        </is>
      </c>
      <c r="K15" s="6" t="inlineStr">
        <is>
          <t>休</t>
        </is>
      </c>
      <c r="L15" s="6" t="inlineStr">
        <is>
          <t>休</t>
        </is>
      </c>
      <c r="M15" s="7" t="inlineStr">
        <is>
          <t>行政班</t>
        </is>
      </c>
      <c r="N15" s="7" t="inlineStr">
        <is>
          <t>行政班</t>
        </is>
      </c>
      <c r="O15" s="7" t="inlineStr">
        <is>
          <t>行政班</t>
        </is>
      </c>
      <c r="P15" s="7" t="inlineStr">
        <is>
          <t>行政班</t>
        </is>
      </c>
      <c r="Q15" s="7" t="inlineStr">
        <is>
          <t>行政班</t>
        </is>
      </c>
      <c r="R15" s="6" t="inlineStr">
        <is>
          <t>休</t>
        </is>
      </c>
      <c r="S15" s="6" t="inlineStr">
        <is>
          <t>休</t>
        </is>
      </c>
      <c r="T15" s="7" t="inlineStr">
        <is>
          <t>行政班</t>
        </is>
      </c>
      <c r="U15" s="7" t="inlineStr">
        <is>
          <t>行政班</t>
        </is>
      </c>
      <c r="V15" s="7" t="inlineStr">
        <is>
          <t>行政班</t>
        </is>
      </c>
      <c r="W15" s="7" t="inlineStr">
        <is>
          <t>行政班</t>
        </is>
      </c>
      <c r="X15" s="7" t="inlineStr">
        <is>
          <t>行政班</t>
        </is>
      </c>
      <c r="Y15" s="6" t="inlineStr">
        <is>
          <t>休</t>
        </is>
      </c>
      <c r="Z15" s="6" t="inlineStr">
        <is>
          <t>休</t>
        </is>
      </c>
      <c r="AA15" s="7" t="inlineStr">
        <is>
          <t>行政班</t>
        </is>
      </c>
      <c r="AB15" s="7" t="inlineStr">
        <is>
          <t>行政班</t>
        </is>
      </c>
      <c r="AC15" s="7" t="inlineStr">
        <is>
          <t>行政班</t>
        </is>
      </c>
      <c r="AD15" s="7" t="inlineStr">
        <is>
          <t>行政班</t>
        </is>
      </c>
      <c r="AE15" s="7" t="inlineStr">
        <is>
          <t>行政班</t>
        </is>
      </c>
      <c r="AF15" s="6" t="inlineStr">
        <is>
          <t>休</t>
        </is>
      </c>
      <c r="AG15" s="6" t="inlineStr">
        <is>
          <t>休</t>
        </is>
      </c>
      <c r="AH15" s="7" t="inlineStr">
        <is>
          <t>行政班</t>
        </is>
      </c>
      <c r="AI15" s="4">
        <f>COUNTIF(D15:AH15,"休")+COUNTIF(D15:AH15,"请假")</f>
        <v/>
      </c>
      <c r="AJ15" s="4">
        <f>COUNTIF(E15:AH15,"行政班")</f>
        <v/>
      </c>
      <c r="AK15" s="4">
        <f>COUNTIF(E15:AH15,"白班
(机动)")</f>
        <v/>
      </c>
      <c r="AL15" s="4">
        <f>COUNTIF(E15:AH15,"晚二")</f>
        <v/>
      </c>
      <c r="AM15" s="4">
        <f>COUNTIF(D15:AH15,"早早班
(IM)")</f>
        <v/>
      </c>
      <c r="AN15" s="4">
        <f>COUNTIF(D15:AH15,"早班")</f>
        <v/>
      </c>
      <c r="AO15" s="4">
        <f>COUNTIF(D15:AH15,"早三")</f>
        <v/>
      </c>
      <c r="AP15" s="4">
        <f>COUNTIF(D15:AH15,"白班")</f>
        <v/>
      </c>
      <c r="AQ15" s="4">
        <f>COUNTIF(D15:AH15,"中三")</f>
        <v/>
      </c>
      <c r="AR15" s="4">
        <f>COUNTIF(D15:AH15,"中四")</f>
        <v/>
      </c>
      <c r="AS15" s="4">
        <f>COUNTIF(D15:AH15,"晚一")+COUNTIF(D15:AH15,"晚一
(IM)")</f>
        <v/>
      </c>
      <c r="AT15" s="4">
        <f>COUNTIF(D15:AH15,"晚二")</f>
        <v/>
      </c>
      <c r="AU15" s="4">
        <f>COUNTIF(D15:AH15,"大夜")</f>
        <v/>
      </c>
    </row>
    <row r="17" ht="33" customHeight="1">
      <c r="A17" s="4" t="inlineStr">
        <is>
          <t xml:space="preserve"> 余晓芬</t>
        </is>
      </c>
      <c r="B17" s="4" t="inlineStr">
        <is>
          <t>63574</t>
        </is>
      </c>
      <c r="C17" s="4" t="inlineStr">
        <is>
          <t>支援</t>
        </is>
      </c>
      <c r="D17" s="6" t="inlineStr">
        <is>
          <t>休</t>
        </is>
      </c>
      <c r="E17" s="6" t="inlineStr">
        <is>
          <t>休</t>
        </is>
      </c>
      <c r="F17" s="7" t="inlineStr">
        <is>
          <t>行政班</t>
        </is>
      </c>
      <c r="G17" s="7" t="inlineStr">
        <is>
          <t>行政班</t>
        </is>
      </c>
      <c r="H17" s="7" t="inlineStr">
        <is>
          <t>行政班</t>
        </is>
      </c>
      <c r="I17" s="7" t="inlineStr">
        <is>
          <t>行政班</t>
        </is>
      </c>
      <c r="J17" s="7" t="inlineStr">
        <is>
          <t>行政班</t>
        </is>
      </c>
      <c r="K17" s="6" t="inlineStr">
        <is>
          <t>休</t>
        </is>
      </c>
      <c r="L17" s="6" t="inlineStr">
        <is>
          <t>休</t>
        </is>
      </c>
      <c r="M17" s="7" t="inlineStr">
        <is>
          <t>行政班</t>
        </is>
      </c>
      <c r="N17" s="7" t="inlineStr">
        <is>
          <t>行政班</t>
        </is>
      </c>
      <c r="O17" s="7" t="inlineStr">
        <is>
          <t>行政班</t>
        </is>
      </c>
      <c r="P17" s="7" t="inlineStr">
        <is>
          <t>行政班</t>
        </is>
      </c>
      <c r="Q17" s="7" t="inlineStr">
        <is>
          <t>行政班</t>
        </is>
      </c>
      <c r="R17" s="6" t="inlineStr">
        <is>
          <t>休</t>
        </is>
      </c>
      <c r="S17" s="6" t="inlineStr">
        <is>
          <t>休</t>
        </is>
      </c>
      <c r="T17" s="7" t="inlineStr">
        <is>
          <t>行政班</t>
        </is>
      </c>
      <c r="U17" s="7" t="inlineStr">
        <is>
          <t>行政班</t>
        </is>
      </c>
      <c r="V17" s="7" t="inlineStr">
        <is>
          <t>行政班</t>
        </is>
      </c>
      <c r="W17" s="7" t="inlineStr">
        <is>
          <t>行政班</t>
        </is>
      </c>
      <c r="X17" s="7" t="inlineStr">
        <is>
          <t>行政班</t>
        </is>
      </c>
      <c r="Y17" s="6" t="inlineStr">
        <is>
          <t>休</t>
        </is>
      </c>
      <c r="Z17" s="6" t="inlineStr">
        <is>
          <t>休</t>
        </is>
      </c>
      <c r="AA17" s="7" t="inlineStr">
        <is>
          <t>行政班</t>
        </is>
      </c>
      <c r="AB17" s="7" t="inlineStr">
        <is>
          <t>行政班</t>
        </is>
      </c>
      <c r="AC17" s="7" t="inlineStr">
        <is>
          <t>行政班</t>
        </is>
      </c>
      <c r="AD17" s="7" t="inlineStr">
        <is>
          <t>行政班</t>
        </is>
      </c>
      <c r="AE17" s="7" t="inlineStr">
        <is>
          <t>行政班</t>
        </is>
      </c>
      <c r="AF17" s="6" t="inlineStr">
        <is>
          <t>休</t>
        </is>
      </c>
      <c r="AG17" s="6" t="inlineStr">
        <is>
          <t>休</t>
        </is>
      </c>
      <c r="AH17" s="7" t="inlineStr">
        <is>
          <t>行政班</t>
        </is>
      </c>
      <c r="AI17" s="4">
        <f>COUNTIF(D17:AH17,"休")+COUNTIF(D17:AH17,"请假")</f>
        <v/>
      </c>
      <c r="AJ17" s="4">
        <f>COUNTIF(E17:AH17,"行政班")</f>
        <v/>
      </c>
      <c r="AK17" s="4">
        <f>COUNTIF(E17:AH17,"白班
(机动)")</f>
        <v/>
      </c>
      <c r="AL17" s="4">
        <f>COUNTIF(E17:AH17,"晚二")</f>
        <v/>
      </c>
      <c r="AM17" s="4">
        <f>COUNTIF(D17:AH17,"早早班
(IM)")</f>
        <v/>
      </c>
      <c r="AN17" s="4">
        <f>COUNTIF(D17:AH17,"早班")</f>
        <v/>
      </c>
      <c r="AO17" s="4">
        <f>COUNTIF(D17:AH17,"早三")</f>
        <v/>
      </c>
      <c r="AP17" s="4">
        <f>COUNTIF(D17:AH17,"白班")</f>
        <v/>
      </c>
      <c r="AQ17" s="4">
        <f>COUNTIF(D17:AH17,"中三")</f>
        <v/>
      </c>
      <c r="AR17" s="4">
        <f>COUNTIF(D17:AH17,"中四")</f>
        <v/>
      </c>
      <c r="AS17" s="4">
        <f>COUNTIF(D17:AH17,"晚一")+COUNTIF(D17:AH17,"晚一
(IM)")</f>
        <v/>
      </c>
      <c r="AT17" s="4">
        <f>COUNTIF(D17:AH17,"晚二")</f>
        <v/>
      </c>
      <c r="AU17" s="4">
        <f>COUNTIF(D17:AH17,"大夜")</f>
        <v/>
      </c>
    </row>
    <row r="19" ht="33" customHeight="1">
      <c r="A19" s="4" t="inlineStr">
        <is>
          <t xml:space="preserve"> 王颖</t>
        </is>
      </c>
      <c r="B19" s="4" t="inlineStr">
        <is>
          <t>75112</t>
        </is>
      </c>
      <c r="C19" s="4" t="inlineStr">
        <is>
          <t>在线</t>
        </is>
      </c>
      <c r="D19" s="10" t="inlineStr">
        <is>
          <t>晚一</t>
        </is>
      </c>
      <c r="E19" s="6" t="inlineStr">
        <is>
          <t>休</t>
        </is>
      </c>
      <c r="F19" s="7" t="inlineStr">
        <is>
          <t>行政班</t>
        </is>
      </c>
      <c r="G19" s="11" t="inlineStr">
        <is>
          <t>早班</t>
        </is>
      </c>
      <c r="H19" s="12" t="inlineStr">
        <is>
          <t>早三</t>
        </is>
      </c>
      <c r="I19" s="7" t="inlineStr">
        <is>
          <t>行政班</t>
        </is>
      </c>
      <c r="J19" s="13" t="inlineStr">
        <is>
          <t>晚二</t>
        </is>
      </c>
      <c r="K19" s="6" t="inlineStr">
        <is>
          <t>休</t>
        </is>
      </c>
      <c r="L19" s="6" t="inlineStr">
        <is>
          <t>休</t>
        </is>
      </c>
      <c r="M19" s="14" t="inlineStr">
        <is>
          <t>中三</t>
        </is>
      </c>
      <c r="N19" s="15" t="inlineStr">
        <is>
          <t>中四</t>
        </is>
      </c>
      <c r="O19" s="13" t="inlineStr">
        <is>
          <t>晚二</t>
        </is>
      </c>
      <c r="P19" s="10" t="inlineStr">
        <is>
          <t>晚一</t>
        </is>
      </c>
      <c r="Q19" s="10" t="inlineStr">
        <is>
          <t>晚一</t>
        </is>
      </c>
      <c r="R19" s="6" t="inlineStr">
        <is>
          <t>休</t>
        </is>
      </c>
      <c r="S19" s="6" t="inlineStr">
        <is>
          <t>休</t>
        </is>
      </c>
      <c r="T19" s="12" t="inlineStr">
        <is>
          <t>早三</t>
        </is>
      </c>
      <c r="U19" s="9" t="inlineStr">
        <is>
          <t>白班
(机动)</t>
        </is>
      </c>
      <c r="V19" s="16" t="inlineStr">
        <is>
          <t>白班</t>
        </is>
      </c>
      <c r="W19" s="6" t="inlineStr">
        <is>
          <t>休</t>
        </is>
      </c>
      <c r="X19" s="16" t="inlineStr">
        <is>
          <t>白班</t>
        </is>
      </c>
      <c r="Y19" s="10" t="inlineStr">
        <is>
          <t>晚一</t>
        </is>
      </c>
      <c r="Z19" s="6" t="inlineStr">
        <is>
          <t>休</t>
        </is>
      </c>
      <c r="AA19" s="12" t="inlineStr">
        <is>
          <t>早三</t>
        </is>
      </c>
      <c r="AB19" s="11" t="inlineStr">
        <is>
          <t>早班</t>
        </is>
      </c>
      <c r="AC19" s="10" t="inlineStr">
        <is>
          <t>晚一</t>
        </is>
      </c>
      <c r="AD19" s="6" t="inlineStr">
        <is>
          <t>休</t>
        </is>
      </c>
      <c r="AE19" s="6" t="inlineStr">
        <is>
          <t>休</t>
        </is>
      </c>
      <c r="AF19" s="15" t="inlineStr">
        <is>
          <t>中四</t>
        </is>
      </c>
      <c r="AG19" s="10" t="inlineStr">
        <is>
          <t>晚一</t>
        </is>
      </c>
      <c r="AH19" s="6" t="inlineStr">
        <is>
          <t>休</t>
        </is>
      </c>
      <c r="AI19" s="4">
        <f>COUNTIF(D19:AH19,"休")+COUNTIF(D19:AH19,"请假")</f>
        <v/>
      </c>
      <c r="AJ19" s="4">
        <f>COUNTIF(E19:AH19,"行政班")</f>
        <v/>
      </c>
      <c r="AK19" s="4">
        <f>COUNTIF(E19:AH19,"白班
(机动)")</f>
        <v/>
      </c>
      <c r="AL19" s="4">
        <f>COUNTIF(E19:AH19,"晚二")</f>
        <v/>
      </c>
      <c r="AM19" s="4">
        <f>COUNTIF(D19:AH19,"早早班
(IM)")</f>
        <v/>
      </c>
      <c r="AN19" s="4">
        <f>COUNTIF(D19:AH19,"早班")</f>
        <v/>
      </c>
      <c r="AO19" s="4">
        <f>COUNTIF(D19:AH19,"早三")</f>
        <v/>
      </c>
      <c r="AP19" s="4">
        <f>COUNTIF(D19:AH19,"白班")</f>
        <v/>
      </c>
      <c r="AQ19" s="4">
        <f>COUNTIF(D19:AH19,"中三")</f>
        <v/>
      </c>
      <c r="AR19" s="4">
        <f>COUNTIF(D19:AH19,"中四")</f>
        <v/>
      </c>
      <c r="AS19" s="4">
        <f>COUNTIF(D19:AH19,"晚一")+COUNTIF(D19:AH19,"晚一
(IM)")</f>
        <v/>
      </c>
      <c r="AT19" s="4">
        <f>COUNTIF(D19:AH19,"晚二")</f>
        <v/>
      </c>
      <c r="AU19" s="4">
        <f>COUNTIF(D19:AH19,"大夜")</f>
        <v/>
      </c>
    </row>
    <row r="20" ht="33" customHeight="1">
      <c r="A20" s="4" t="inlineStr">
        <is>
          <t xml:space="preserve"> 盛坤坤</t>
        </is>
      </c>
      <c r="B20" s="4" t="inlineStr">
        <is>
          <t>63715</t>
        </is>
      </c>
      <c r="C20" s="4" t="inlineStr">
        <is>
          <t>在线</t>
        </is>
      </c>
      <c r="D20" s="13" t="inlineStr">
        <is>
          <t>晚二</t>
        </is>
      </c>
      <c r="E20" s="6" t="inlineStr">
        <is>
          <t>休</t>
        </is>
      </c>
      <c r="F20" s="11" t="inlineStr">
        <is>
          <t>早班</t>
        </is>
      </c>
      <c r="G20" s="9" t="inlineStr">
        <is>
          <t>白班
(机动)</t>
        </is>
      </c>
      <c r="H20" s="7" t="inlineStr">
        <is>
          <t>行政班</t>
        </is>
      </c>
      <c r="I20" s="6" t="inlineStr">
        <is>
          <t>休</t>
        </is>
      </c>
      <c r="J20" s="10" t="inlineStr">
        <is>
          <t>晚一</t>
        </is>
      </c>
      <c r="K20" s="6" t="inlineStr">
        <is>
          <t>休</t>
        </is>
      </c>
      <c r="L20" s="10" t="inlineStr">
        <is>
          <t>晚一</t>
        </is>
      </c>
      <c r="M20" s="15" t="inlineStr">
        <is>
          <t>中四</t>
        </is>
      </c>
      <c r="N20" s="10" t="inlineStr">
        <is>
          <t>晚一</t>
        </is>
      </c>
      <c r="O20" s="13" t="inlineStr">
        <is>
          <t>晚二</t>
        </is>
      </c>
      <c r="P20" s="10" t="inlineStr">
        <is>
          <t>晚一</t>
        </is>
      </c>
      <c r="Q20" s="6" t="inlineStr">
        <is>
          <t>休</t>
        </is>
      </c>
      <c r="R20" s="7" t="inlineStr">
        <is>
          <t>行政班</t>
        </is>
      </c>
      <c r="S20" s="12" t="inlineStr">
        <is>
          <t>早三</t>
        </is>
      </c>
      <c r="T20" s="11" t="inlineStr">
        <is>
          <t>早班</t>
        </is>
      </c>
      <c r="U20" s="6" t="inlineStr">
        <is>
          <t>休</t>
        </is>
      </c>
      <c r="V20" s="12" t="inlineStr">
        <is>
          <t>早三</t>
        </is>
      </c>
      <c r="W20" s="12" t="inlineStr">
        <is>
          <t>早三</t>
        </is>
      </c>
      <c r="X20" s="16" t="inlineStr">
        <is>
          <t>白班</t>
        </is>
      </c>
      <c r="Y20" s="6" t="inlineStr">
        <is>
          <t>休</t>
        </is>
      </c>
      <c r="Z20" s="6" t="inlineStr">
        <is>
          <t>休</t>
        </is>
      </c>
      <c r="AA20" s="10" t="inlineStr">
        <is>
          <t>晚一</t>
        </is>
      </c>
      <c r="AB20" s="15" t="inlineStr">
        <is>
          <t>中四</t>
        </is>
      </c>
      <c r="AC20" s="15" t="inlineStr">
        <is>
          <t>中四</t>
        </is>
      </c>
      <c r="AD20" s="6" t="inlineStr">
        <is>
          <t>休</t>
        </is>
      </c>
      <c r="AE20" s="6" t="inlineStr">
        <is>
          <t>休</t>
        </is>
      </c>
      <c r="AF20" s="7" t="inlineStr">
        <is>
          <t>行政班</t>
        </is>
      </c>
      <c r="AG20" s="11" t="inlineStr">
        <is>
          <t>早班</t>
        </is>
      </c>
      <c r="AH20" s="6" t="inlineStr">
        <is>
          <t>休</t>
        </is>
      </c>
      <c r="AI20" s="4">
        <f>COUNTIF(D20:AH20,"休")+COUNTIF(D20:AH20,"请假")</f>
        <v/>
      </c>
      <c r="AJ20" s="4">
        <f>COUNTIF(E20:AH20,"行政班")</f>
        <v/>
      </c>
      <c r="AK20" s="4">
        <f>COUNTIF(E20:AH20,"白班
(机动)")</f>
        <v/>
      </c>
      <c r="AL20" s="4">
        <f>COUNTIF(E20:AH20,"晚二")</f>
        <v/>
      </c>
      <c r="AM20" s="4">
        <f>COUNTIF(D20:AH20,"早早班
(IM)")</f>
        <v/>
      </c>
      <c r="AN20" s="4">
        <f>COUNTIF(D20:AH20,"早班")</f>
        <v/>
      </c>
      <c r="AO20" s="4">
        <f>COUNTIF(D20:AH20,"早三")</f>
        <v/>
      </c>
      <c r="AP20" s="4">
        <f>COUNTIF(D20:AH20,"白班")</f>
        <v/>
      </c>
      <c r="AQ20" s="4">
        <f>COUNTIF(D20:AH20,"中三")</f>
        <v/>
      </c>
      <c r="AR20" s="4">
        <f>COUNTIF(D20:AH20,"中四")</f>
        <v/>
      </c>
      <c r="AS20" s="4">
        <f>COUNTIF(D20:AH20,"晚一")+COUNTIF(D20:AH20,"晚一
(IM)")</f>
        <v/>
      </c>
      <c r="AT20" s="4">
        <f>COUNTIF(D20:AH20,"晚二")</f>
        <v/>
      </c>
      <c r="AU20" s="4">
        <f>COUNTIF(D20:AH20,"大夜")</f>
        <v/>
      </c>
    </row>
    <row r="21" ht="33" customHeight="1">
      <c r="A21" s="4" t="inlineStr">
        <is>
          <t xml:space="preserve"> 褚婉婷</t>
        </is>
      </c>
      <c r="B21" s="4" t="inlineStr">
        <is>
          <t>63810</t>
        </is>
      </c>
      <c r="C21" s="4" t="inlineStr">
        <is>
          <t>在线</t>
        </is>
      </c>
      <c r="D21" s="6" t="inlineStr">
        <is>
          <t>休</t>
        </is>
      </c>
      <c r="E21" s="10" t="inlineStr">
        <is>
          <t>晚一</t>
        </is>
      </c>
      <c r="F21" s="13" t="inlineStr">
        <is>
          <t>晚二</t>
        </is>
      </c>
      <c r="G21" s="10" t="inlineStr">
        <is>
          <t>晚一</t>
        </is>
      </c>
      <c r="H21" s="6" t="inlineStr">
        <is>
          <t>休</t>
        </is>
      </c>
      <c r="I21" s="7" t="inlineStr">
        <is>
          <t>行政班</t>
        </is>
      </c>
      <c r="J21" s="7" t="inlineStr">
        <is>
          <t>行政班</t>
        </is>
      </c>
      <c r="K21" s="7" t="inlineStr">
        <is>
          <t>行政班</t>
        </is>
      </c>
      <c r="L21" s="11" t="inlineStr">
        <is>
          <t>早班</t>
        </is>
      </c>
      <c r="M21" s="6" t="inlineStr">
        <is>
          <t>休</t>
        </is>
      </c>
      <c r="N21" s="11" t="inlineStr">
        <is>
          <t>早班</t>
        </is>
      </c>
      <c r="O21" s="12" t="inlineStr">
        <is>
          <t>早三</t>
        </is>
      </c>
      <c r="P21" s="10" t="inlineStr">
        <is>
          <t>晚一</t>
        </is>
      </c>
      <c r="Q21" s="10" t="inlineStr">
        <is>
          <t>晚一</t>
        </is>
      </c>
      <c r="R21" s="15" t="inlineStr">
        <is>
          <t>中四</t>
        </is>
      </c>
      <c r="S21" s="6" t="inlineStr">
        <is>
          <t>休</t>
        </is>
      </c>
      <c r="T21" s="6" t="inlineStr">
        <is>
          <t>休</t>
        </is>
      </c>
      <c r="U21" s="11" t="inlineStr">
        <is>
          <t>早班</t>
        </is>
      </c>
      <c r="V21" s="7" t="inlineStr">
        <is>
          <t>行政班</t>
        </is>
      </c>
      <c r="W21" s="10" t="inlineStr">
        <is>
          <t>晚一</t>
        </is>
      </c>
      <c r="X21" s="6" t="inlineStr">
        <is>
          <t>休</t>
        </is>
      </c>
      <c r="Y21" s="6" t="inlineStr">
        <is>
          <t>休</t>
        </is>
      </c>
      <c r="Z21" s="9" t="inlineStr">
        <is>
          <t>白班
(机动)</t>
        </is>
      </c>
      <c r="AA21" s="13" t="inlineStr">
        <is>
          <t>晚二</t>
        </is>
      </c>
      <c r="AB21" s="6" t="inlineStr">
        <is>
          <t>休</t>
        </is>
      </c>
      <c r="AC21" s="11" t="inlineStr">
        <is>
          <t>早班</t>
        </is>
      </c>
      <c r="AD21" s="13" t="inlineStr">
        <is>
          <t>晚二</t>
        </is>
      </c>
      <c r="AE21" s="14" t="inlineStr">
        <is>
          <t>中三</t>
        </is>
      </c>
      <c r="AF21" s="6" t="inlineStr">
        <is>
          <t>休</t>
        </is>
      </c>
      <c r="AG21" s="6" t="inlineStr">
        <is>
          <t>休</t>
        </is>
      </c>
      <c r="AH21" s="11" t="inlineStr">
        <is>
          <t>早班</t>
        </is>
      </c>
      <c r="AI21" s="4">
        <f>COUNTIF(D21:AH21,"休")+COUNTIF(D21:AH21,"请假")</f>
        <v/>
      </c>
      <c r="AJ21" s="4">
        <f>COUNTIF(E21:AH21,"行政班")</f>
        <v/>
      </c>
      <c r="AK21" s="4">
        <f>COUNTIF(E21:AH21,"白班
(机动)")</f>
        <v/>
      </c>
      <c r="AL21" s="4">
        <f>COUNTIF(E21:AH21,"晚二")</f>
        <v/>
      </c>
      <c r="AM21" s="4">
        <f>COUNTIF(D21:AH21,"早早班
(IM)")</f>
        <v/>
      </c>
      <c r="AN21" s="4">
        <f>COUNTIF(D21:AH21,"早班")</f>
        <v/>
      </c>
      <c r="AO21" s="4">
        <f>COUNTIF(D21:AH21,"早三")</f>
        <v/>
      </c>
      <c r="AP21" s="4">
        <f>COUNTIF(D21:AH21,"白班")</f>
        <v/>
      </c>
      <c r="AQ21" s="4">
        <f>COUNTIF(D21:AH21,"中三")</f>
        <v/>
      </c>
      <c r="AR21" s="4">
        <f>COUNTIF(D21:AH21,"中四")</f>
        <v/>
      </c>
      <c r="AS21" s="4">
        <f>COUNTIF(D21:AH21,"晚一")+COUNTIF(D21:AH21,"晚一
(IM)")</f>
        <v/>
      </c>
      <c r="AT21" s="4">
        <f>COUNTIF(D21:AH21,"晚二")</f>
        <v/>
      </c>
      <c r="AU21" s="4">
        <f>COUNTIF(D21:AH21,"大夜")</f>
        <v/>
      </c>
    </row>
    <row r="22" ht="33" customHeight="1">
      <c r="A22" s="4" t="inlineStr">
        <is>
          <t xml:space="preserve"> 胡文思</t>
        </is>
      </c>
      <c r="B22" s="4" t="inlineStr">
        <is>
          <t>63802</t>
        </is>
      </c>
      <c r="C22" s="4" t="inlineStr">
        <is>
          <t>在线</t>
        </is>
      </c>
      <c r="D22" s="10" t="inlineStr">
        <is>
          <t>晚一</t>
        </is>
      </c>
      <c r="E22" s="15" t="inlineStr">
        <is>
          <t>中四</t>
        </is>
      </c>
      <c r="F22" s="6" t="inlineStr">
        <is>
          <t>休</t>
        </is>
      </c>
      <c r="G22" s="16" t="inlineStr">
        <is>
          <t>白班</t>
        </is>
      </c>
      <c r="H22" s="11" t="inlineStr">
        <is>
          <t>早班</t>
        </is>
      </c>
      <c r="I22" s="12" t="inlineStr">
        <is>
          <t>早三</t>
        </is>
      </c>
      <c r="J22" s="7" t="inlineStr">
        <is>
          <t>行政班</t>
        </is>
      </c>
      <c r="K22" s="10" t="inlineStr">
        <is>
          <t>晚一</t>
        </is>
      </c>
      <c r="L22" s="6" t="inlineStr">
        <is>
          <t>休</t>
        </is>
      </c>
      <c r="M22" s="7" t="inlineStr">
        <is>
          <t>行政班</t>
        </is>
      </c>
      <c r="N22" s="7" t="inlineStr">
        <is>
          <t>行政班</t>
        </is>
      </c>
      <c r="O22" s="13" t="inlineStr">
        <is>
          <t>晚二</t>
        </is>
      </c>
      <c r="P22" s="6" t="inlineStr">
        <is>
          <t>休</t>
        </is>
      </c>
      <c r="Q22" s="11" t="inlineStr">
        <is>
          <t>早班</t>
        </is>
      </c>
      <c r="R22" s="10" t="inlineStr">
        <is>
          <t>晚一</t>
        </is>
      </c>
      <c r="S22" s="6" t="inlineStr">
        <is>
          <t>休</t>
        </is>
      </c>
      <c r="T22" s="6" t="inlineStr">
        <is>
          <t>休</t>
        </is>
      </c>
      <c r="U22" s="10" t="inlineStr">
        <is>
          <t>晚一</t>
        </is>
      </c>
      <c r="V22" s="14" t="inlineStr">
        <is>
          <t>中三</t>
        </is>
      </c>
      <c r="W22" s="13" t="inlineStr">
        <is>
          <t>晚二</t>
        </is>
      </c>
      <c r="X22" s="6" t="inlineStr">
        <is>
          <t>休</t>
        </is>
      </c>
      <c r="Y22" s="6" t="inlineStr">
        <is>
          <t>休</t>
        </is>
      </c>
      <c r="Z22" s="7" t="inlineStr">
        <is>
          <t>行政班</t>
        </is>
      </c>
      <c r="AA22" s="9" t="inlineStr">
        <is>
          <t>白班
(机动)</t>
        </is>
      </c>
      <c r="AB22" s="7" t="inlineStr">
        <is>
          <t>行政班</t>
        </is>
      </c>
      <c r="AC22" s="6" t="inlineStr">
        <is>
          <t>休</t>
        </is>
      </c>
      <c r="AD22" s="6" t="inlineStr">
        <is>
          <t>休</t>
        </is>
      </c>
      <c r="AE22" s="11" t="inlineStr">
        <is>
          <t>早班</t>
        </is>
      </c>
      <c r="AF22" s="10" t="inlineStr">
        <is>
          <t>晚一</t>
        </is>
      </c>
      <c r="AG22" s="6" t="inlineStr">
        <is>
          <t>休</t>
        </is>
      </c>
      <c r="AH22" s="13" t="inlineStr">
        <is>
          <t>晚二</t>
        </is>
      </c>
      <c r="AI22" s="4">
        <f>COUNTIF(D22:AH22,"休")+COUNTIF(D22:AH22,"请假")</f>
        <v/>
      </c>
      <c r="AJ22" s="4">
        <f>COUNTIF(E22:AH22,"行政班")</f>
        <v/>
      </c>
      <c r="AK22" s="4">
        <f>COUNTIF(E22:AH22,"白班
(机动)")</f>
        <v/>
      </c>
      <c r="AL22" s="4">
        <f>COUNTIF(E22:AH22,"晚二")</f>
        <v/>
      </c>
      <c r="AM22" s="4">
        <f>COUNTIF(D22:AH22,"早早班
(IM)")</f>
        <v/>
      </c>
      <c r="AN22" s="4">
        <f>COUNTIF(D22:AH22,"早班")</f>
        <v/>
      </c>
      <c r="AO22" s="4">
        <f>COUNTIF(D22:AH22,"早三")</f>
        <v/>
      </c>
      <c r="AP22" s="4">
        <f>COUNTIF(D22:AH22,"白班")</f>
        <v/>
      </c>
      <c r="AQ22" s="4">
        <f>COUNTIF(D22:AH22,"中三")</f>
        <v/>
      </c>
      <c r="AR22" s="4">
        <f>COUNTIF(D22:AH22,"中四")</f>
        <v/>
      </c>
      <c r="AS22" s="4">
        <f>COUNTIF(D22:AH22,"晚一")+COUNTIF(D22:AH22,"晚一
(IM)")</f>
        <v/>
      </c>
      <c r="AT22" s="4">
        <f>COUNTIF(D22:AH22,"晚二")</f>
        <v/>
      </c>
      <c r="AU22" s="4">
        <f>COUNTIF(D22:AH22,"大夜")</f>
        <v/>
      </c>
    </row>
    <row r="23" ht="33" customHeight="1">
      <c r="A23" s="4" t="inlineStr">
        <is>
          <t xml:space="preserve"> 余飞滔</t>
        </is>
      </c>
      <c r="B23" s="4" t="inlineStr">
        <is>
          <t>63610</t>
        </is>
      </c>
      <c r="C23" s="4" t="inlineStr">
        <is>
          <t>在线</t>
        </is>
      </c>
      <c r="D23" s="6" t="inlineStr">
        <is>
          <t>休</t>
        </is>
      </c>
      <c r="E23" s="10" t="inlineStr">
        <is>
          <t>晚一</t>
        </is>
      </c>
      <c r="F23" s="10" t="inlineStr">
        <is>
          <t>晚一</t>
        </is>
      </c>
      <c r="G23" s="13" t="inlineStr">
        <is>
          <t>晚二</t>
        </is>
      </c>
      <c r="H23" s="10" t="inlineStr">
        <is>
          <t>晚一</t>
        </is>
      </c>
      <c r="I23" s="6" t="inlineStr">
        <is>
          <t>休</t>
        </is>
      </c>
      <c r="J23" s="9" t="inlineStr">
        <is>
          <t>白班
(机动)</t>
        </is>
      </c>
      <c r="K23" s="7" t="inlineStr">
        <is>
          <t>行政班</t>
        </is>
      </c>
      <c r="L23" s="11" t="inlineStr">
        <is>
          <t>早班</t>
        </is>
      </c>
      <c r="M23" s="11" t="inlineStr">
        <is>
          <t>早班</t>
        </is>
      </c>
      <c r="N23" s="6" t="inlineStr">
        <is>
          <t>休</t>
        </is>
      </c>
      <c r="O23" s="11" t="inlineStr">
        <is>
          <t>早班</t>
        </is>
      </c>
      <c r="P23" s="11" t="inlineStr">
        <is>
          <t>早班</t>
        </is>
      </c>
      <c r="Q23" s="7" t="inlineStr">
        <is>
          <t>行政班</t>
        </is>
      </c>
      <c r="R23" s="16" t="inlineStr">
        <is>
          <t>白班</t>
        </is>
      </c>
      <c r="S23" s="6" t="inlineStr">
        <is>
          <t>休</t>
        </is>
      </c>
      <c r="T23" s="6" t="inlineStr">
        <is>
          <t>休</t>
        </is>
      </c>
      <c r="U23" s="14" t="inlineStr">
        <is>
          <t>中三</t>
        </is>
      </c>
      <c r="V23" s="10" t="inlineStr">
        <is>
          <t>晚一</t>
        </is>
      </c>
      <c r="W23" s="13" t="inlineStr">
        <is>
          <t>晚二</t>
        </is>
      </c>
      <c r="X23" s="6" t="inlineStr">
        <is>
          <t>休</t>
        </is>
      </c>
      <c r="Y23" s="6" t="inlineStr">
        <is>
          <t>休</t>
        </is>
      </c>
      <c r="Z23" s="11" t="inlineStr">
        <is>
          <t>早班</t>
        </is>
      </c>
      <c r="AA23" s="10" t="inlineStr">
        <is>
          <t>晚一</t>
        </is>
      </c>
      <c r="AB23" s="6" t="inlineStr">
        <is>
          <t>休</t>
        </is>
      </c>
      <c r="AC23" s="16" t="inlineStr">
        <is>
          <t>白班</t>
        </is>
      </c>
      <c r="AD23" s="14" t="inlineStr">
        <is>
          <t>中三</t>
        </is>
      </c>
      <c r="AE23" s="6" t="inlineStr">
        <is>
          <t>休</t>
        </is>
      </c>
      <c r="AF23" s="16" t="inlineStr">
        <is>
          <t>白班</t>
        </is>
      </c>
      <c r="AG23" s="15" t="inlineStr">
        <is>
          <t>中四</t>
        </is>
      </c>
      <c r="AH23" s="6" t="inlineStr">
        <is>
          <t>休</t>
        </is>
      </c>
      <c r="AI23" s="4">
        <f>COUNTIF(D23:AH23,"休")+COUNTIF(D23:AH23,"请假")</f>
        <v/>
      </c>
      <c r="AJ23" s="4">
        <f>COUNTIF(E23:AH23,"行政班")</f>
        <v/>
      </c>
      <c r="AK23" s="4">
        <f>COUNTIF(E23:AH23,"白班
(机动)")</f>
        <v/>
      </c>
      <c r="AL23" s="4">
        <f>COUNTIF(E23:AH23,"晚二")</f>
        <v/>
      </c>
      <c r="AM23" s="4">
        <f>COUNTIF(D23:AH23,"早早班
(IM)")</f>
        <v/>
      </c>
      <c r="AN23" s="4">
        <f>COUNTIF(D23:AH23,"早班")</f>
        <v/>
      </c>
      <c r="AO23" s="4">
        <f>COUNTIF(D23:AH23,"早三")</f>
        <v/>
      </c>
      <c r="AP23" s="4">
        <f>COUNTIF(D23:AH23,"白班")</f>
        <v/>
      </c>
      <c r="AQ23" s="4">
        <f>COUNTIF(D23:AH23,"中三")</f>
        <v/>
      </c>
      <c r="AR23" s="4">
        <f>COUNTIF(D23:AH23,"中四")</f>
        <v/>
      </c>
      <c r="AS23" s="4">
        <f>COUNTIF(D23:AH23,"晚一")+COUNTIF(D23:AH23,"晚一
(IM)")</f>
        <v/>
      </c>
      <c r="AT23" s="4">
        <f>COUNTIF(D23:AH23,"晚二")</f>
        <v/>
      </c>
      <c r="AU23" s="4">
        <f>COUNTIF(D23:AH23,"大夜")</f>
        <v/>
      </c>
    </row>
    <row r="24" ht="33" customHeight="1">
      <c r="A24" s="4" t="inlineStr">
        <is>
          <t xml:space="preserve"> 周雨襄</t>
        </is>
      </c>
      <c r="B24" s="4" t="inlineStr">
        <is>
          <t>63704</t>
        </is>
      </c>
      <c r="C24" s="4" t="inlineStr">
        <is>
          <t>在线</t>
        </is>
      </c>
      <c r="D24" s="15" t="inlineStr">
        <is>
          <t>中四</t>
        </is>
      </c>
      <c r="E24" s="10" t="inlineStr">
        <is>
          <t>晚一</t>
        </is>
      </c>
      <c r="F24" s="6" t="inlineStr">
        <is>
          <t>休</t>
        </is>
      </c>
      <c r="G24" s="6" t="inlineStr">
        <is>
          <t>休</t>
        </is>
      </c>
      <c r="H24" s="7" t="inlineStr">
        <is>
          <t>行政班</t>
        </is>
      </c>
      <c r="I24" s="9" t="inlineStr">
        <is>
          <t>白班
(机动)</t>
        </is>
      </c>
      <c r="J24" s="7" t="inlineStr">
        <is>
          <t>行政班</t>
        </is>
      </c>
      <c r="K24" s="12" t="inlineStr">
        <is>
          <t>早三</t>
        </is>
      </c>
      <c r="L24" s="6" t="inlineStr">
        <is>
          <t>休</t>
        </is>
      </c>
      <c r="M24" s="13" t="inlineStr">
        <is>
          <t>晚二</t>
        </is>
      </c>
      <c r="N24" s="10" t="inlineStr">
        <is>
          <t>晚一</t>
        </is>
      </c>
      <c r="O24" s="10" t="inlineStr">
        <is>
          <t>晚一</t>
        </is>
      </c>
      <c r="P24" s="13" t="inlineStr">
        <is>
          <t>晚二</t>
        </is>
      </c>
      <c r="Q24" s="10" t="inlineStr">
        <is>
          <t>晚一</t>
        </is>
      </c>
      <c r="R24" s="6" t="inlineStr">
        <is>
          <t>休</t>
        </is>
      </c>
      <c r="S24" s="11" t="inlineStr">
        <is>
          <t>早班</t>
        </is>
      </c>
      <c r="T24" s="11" t="inlineStr">
        <is>
          <t>早班</t>
        </is>
      </c>
      <c r="U24" s="12" t="inlineStr">
        <is>
          <t>早三</t>
        </is>
      </c>
      <c r="V24" s="6" t="inlineStr">
        <is>
          <t>休</t>
        </is>
      </c>
      <c r="W24" s="6" t="inlineStr">
        <is>
          <t>休</t>
        </is>
      </c>
      <c r="X24" s="11" t="inlineStr">
        <is>
          <t>早班</t>
        </is>
      </c>
      <c r="Y24" s="12" t="inlineStr">
        <is>
          <t>早三</t>
        </is>
      </c>
      <c r="Z24" s="6" t="inlineStr">
        <is>
          <t>休</t>
        </is>
      </c>
      <c r="AA24" s="15" t="inlineStr">
        <is>
          <t>中四</t>
        </is>
      </c>
      <c r="AB24" s="10" t="inlineStr">
        <is>
          <t>晚一</t>
        </is>
      </c>
      <c r="AC24" s="14" t="inlineStr">
        <is>
          <t>中三</t>
        </is>
      </c>
      <c r="AD24" s="6" t="inlineStr">
        <is>
          <t>休</t>
        </is>
      </c>
      <c r="AE24" s="6" t="inlineStr">
        <is>
          <t>休</t>
        </is>
      </c>
      <c r="AF24" s="6" t="inlineStr">
        <is>
          <t>休</t>
        </is>
      </c>
      <c r="AG24" s="12" t="inlineStr">
        <is>
          <t>早三</t>
        </is>
      </c>
      <c r="AH24" s="11" t="inlineStr">
        <is>
          <t>早班</t>
        </is>
      </c>
      <c r="AI24" s="4">
        <f>COUNTIF(D24:AH24,"休")+COUNTIF(D24:AH24,"请假")</f>
        <v/>
      </c>
      <c r="AJ24" s="4">
        <f>COUNTIF(E24:AH24,"行政班")</f>
        <v/>
      </c>
      <c r="AK24" s="4">
        <f>COUNTIF(E24:AH24,"白班
(机动)")</f>
        <v/>
      </c>
      <c r="AL24" s="4">
        <f>COUNTIF(E24:AH24,"晚二")</f>
        <v/>
      </c>
      <c r="AM24" s="4">
        <f>COUNTIF(D24:AH24,"早早班
(IM)")</f>
        <v/>
      </c>
      <c r="AN24" s="4">
        <f>COUNTIF(D24:AH24,"早班")</f>
        <v/>
      </c>
      <c r="AO24" s="4">
        <f>COUNTIF(D24:AH24,"早三")</f>
        <v/>
      </c>
      <c r="AP24" s="4">
        <f>COUNTIF(D24:AH24,"白班")</f>
        <v/>
      </c>
      <c r="AQ24" s="4">
        <f>COUNTIF(D24:AH24,"中三")</f>
        <v/>
      </c>
      <c r="AR24" s="4">
        <f>COUNTIF(D24:AH24,"中四")</f>
        <v/>
      </c>
      <c r="AS24" s="4">
        <f>COUNTIF(D24:AH24,"晚一")+COUNTIF(D24:AH24,"晚一
(IM)")</f>
        <v/>
      </c>
      <c r="AT24" s="4">
        <f>COUNTIF(D24:AH24,"晚二")</f>
        <v/>
      </c>
      <c r="AU24" s="4">
        <f>COUNTIF(D24:AH24,"大夜")</f>
        <v/>
      </c>
    </row>
    <row r="25" ht="33" customHeight="1">
      <c r="A25" s="4" t="inlineStr">
        <is>
          <t xml:space="preserve"> 杜梦薇</t>
        </is>
      </c>
      <c r="B25" s="4" t="inlineStr">
        <is>
          <t>63891</t>
        </is>
      </c>
      <c r="C25" s="4" t="inlineStr">
        <is>
          <t>在线</t>
        </is>
      </c>
      <c r="D25" s="14" t="inlineStr">
        <is>
          <t>中三</t>
        </is>
      </c>
      <c r="E25" s="6" t="inlineStr">
        <is>
          <t>休</t>
        </is>
      </c>
      <c r="F25" s="6" t="inlineStr">
        <is>
          <t>休</t>
        </is>
      </c>
      <c r="G25" s="12" t="inlineStr">
        <is>
          <t>早三</t>
        </is>
      </c>
      <c r="H25" s="12" t="inlineStr">
        <is>
          <t>早三</t>
        </is>
      </c>
      <c r="I25" s="16" t="inlineStr">
        <is>
          <t>白班</t>
        </is>
      </c>
      <c r="J25" s="14" t="inlineStr">
        <is>
          <t>中三</t>
        </is>
      </c>
      <c r="K25" s="10" t="inlineStr">
        <is>
          <t>晚一</t>
        </is>
      </c>
      <c r="L25" s="6" t="inlineStr">
        <is>
          <t>休</t>
        </is>
      </c>
      <c r="M25" s="11" t="inlineStr">
        <is>
          <t>早班</t>
        </is>
      </c>
      <c r="N25" s="12" t="inlineStr">
        <is>
          <t>早三</t>
        </is>
      </c>
      <c r="O25" s="7" t="inlineStr">
        <is>
          <t>行政班</t>
        </is>
      </c>
      <c r="P25" s="16" t="inlineStr">
        <is>
          <t>白班</t>
        </is>
      </c>
      <c r="Q25" s="13" t="inlineStr">
        <is>
          <t>晚二</t>
        </is>
      </c>
      <c r="R25" s="6" t="inlineStr">
        <is>
          <t>休</t>
        </is>
      </c>
      <c r="S25" s="15" t="inlineStr">
        <is>
          <t>中四</t>
        </is>
      </c>
      <c r="T25" s="10" t="inlineStr">
        <is>
          <t>晚一</t>
        </is>
      </c>
      <c r="U25" s="10" t="inlineStr">
        <is>
          <t>晚一</t>
        </is>
      </c>
      <c r="V25" s="6" t="inlineStr">
        <is>
          <t>休</t>
        </is>
      </c>
      <c r="W25" s="6" t="inlineStr">
        <is>
          <t>休</t>
        </is>
      </c>
      <c r="X25" s="9" t="inlineStr">
        <is>
          <t>白班
(机动)</t>
        </is>
      </c>
      <c r="Y25" s="11" t="inlineStr">
        <is>
          <t>早班</t>
        </is>
      </c>
      <c r="Z25" s="6" t="inlineStr">
        <is>
          <t>休</t>
        </is>
      </c>
      <c r="AA25" s="10" t="inlineStr">
        <is>
          <t>晚一</t>
        </is>
      </c>
      <c r="AB25" s="13" t="inlineStr">
        <is>
          <t>晚二</t>
        </is>
      </c>
      <c r="AC25" s="10" t="inlineStr">
        <is>
          <t>晚一</t>
        </is>
      </c>
      <c r="AD25" s="6" t="inlineStr">
        <is>
          <t>休</t>
        </is>
      </c>
      <c r="AE25" s="6" t="inlineStr">
        <is>
          <t>休</t>
        </is>
      </c>
      <c r="AF25" s="11" t="inlineStr">
        <is>
          <t>早班</t>
        </is>
      </c>
      <c r="AG25" s="11" t="inlineStr">
        <is>
          <t>早班</t>
        </is>
      </c>
      <c r="AH25" s="6" t="inlineStr">
        <is>
          <t>休</t>
        </is>
      </c>
      <c r="AI25" s="4">
        <f>COUNTIF(D25:AH25,"休")+COUNTIF(D25:AH25,"请假")</f>
        <v/>
      </c>
      <c r="AJ25" s="4">
        <f>COUNTIF(E25:AH25,"行政班")</f>
        <v/>
      </c>
      <c r="AK25" s="4">
        <f>COUNTIF(E25:AH25,"白班
(机动)")</f>
        <v/>
      </c>
      <c r="AL25" s="4">
        <f>COUNTIF(E25:AH25,"晚二")</f>
        <v/>
      </c>
      <c r="AM25" s="4">
        <f>COUNTIF(D25:AH25,"早早班
(IM)")</f>
        <v/>
      </c>
      <c r="AN25" s="4">
        <f>COUNTIF(D25:AH25,"早班")</f>
        <v/>
      </c>
      <c r="AO25" s="4">
        <f>COUNTIF(D25:AH25,"早三")</f>
        <v/>
      </c>
      <c r="AP25" s="4">
        <f>COUNTIF(D25:AH25,"白班")</f>
        <v/>
      </c>
      <c r="AQ25" s="4">
        <f>COUNTIF(D25:AH25,"中三")</f>
        <v/>
      </c>
      <c r="AR25" s="4">
        <f>COUNTIF(D25:AH25,"中四")</f>
        <v/>
      </c>
      <c r="AS25" s="4">
        <f>COUNTIF(D25:AH25,"晚一")+COUNTIF(D25:AH25,"晚一
(IM)")</f>
        <v/>
      </c>
      <c r="AT25" s="4">
        <f>COUNTIF(D25:AH25,"晚二")</f>
        <v/>
      </c>
      <c r="AU25" s="4">
        <f>COUNTIF(D25:AH25,"大夜")</f>
        <v/>
      </c>
    </row>
    <row r="26" ht="33" customHeight="1">
      <c r="A26" s="4" t="inlineStr">
        <is>
          <t xml:space="preserve"> 罗小婷</t>
        </is>
      </c>
      <c r="B26" s="4" t="inlineStr">
        <is>
          <t>63359</t>
        </is>
      </c>
      <c r="C26" s="4" t="inlineStr">
        <is>
          <t>在线</t>
        </is>
      </c>
      <c r="D26" s="6" t="inlineStr">
        <is>
          <t>休</t>
        </is>
      </c>
      <c r="E26" s="13" t="inlineStr">
        <is>
          <t>晚二</t>
        </is>
      </c>
      <c r="F26" s="10" t="inlineStr">
        <is>
          <t>晚一</t>
        </is>
      </c>
      <c r="G26" s="10" t="inlineStr">
        <is>
          <t>晚一</t>
        </is>
      </c>
      <c r="H26" s="6" t="inlineStr">
        <is>
          <t>休</t>
        </is>
      </c>
      <c r="I26" s="7" t="inlineStr">
        <is>
          <t>行政班</t>
        </is>
      </c>
      <c r="J26" s="16" t="inlineStr">
        <is>
          <t>白班</t>
        </is>
      </c>
      <c r="K26" s="11" t="inlineStr">
        <is>
          <t>早班</t>
        </is>
      </c>
      <c r="L26" s="7" t="inlineStr">
        <is>
          <t>行政班</t>
        </is>
      </c>
      <c r="M26" s="6" t="inlineStr">
        <is>
          <t>休</t>
        </is>
      </c>
      <c r="N26" s="7" t="inlineStr">
        <is>
          <t>行政班</t>
        </is>
      </c>
      <c r="O26" s="9" t="inlineStr">
        <is>
          <t>白班
(机动)</t>
        </is>
      </c>
      <c r="P26" s="11" t="inlineStr">
        <is>
          <t>早班</t>
        </is>
      </c>
      <c r="Q26" s="10" t="inlineStr">
        <is>
          <t>晚一</t>
        </is>
      </c>
      <c r="R26" s="10" t="inlineStr">
        <is>
          <t>晚一</t>
        </is>
      </c>
      <c r="S26" s="6" t="inlineStr">
        <is>
          <t>休</t>
        </is>
      </c>
      <c r="T26" s="6" t="inlineStr">
        <is>
          <t>休</t>
        </is>
      </c>
      <c r="U26" s="16" t="inlineStr">
        <is>
          <t>白班</t>
        </is>
      </c>
      <c r="V26" s="10" t="inlineStr">
        <is>
          <t>晚一</t>
        </is>
      </c>
      <c r="W26" s="15" t="inlineStr">
        <is>
          <t>中四</t>
        </is>
      </c>
      <c r="X26" s="6" t="inlineStr">
        <is>
          <t>休</t>
        </is>
      </c>
      <c r="Y26" s="12" t="inlineStr">
        <is>
          <t>早三</t>
        </is>
      </c>
      <c r="Z26" s="13" t="inlineStr">
        <is>
          <t>晚二</t>
        </is>
      </c>
      <c r="AA26" s="6" t="inlineStr">
        <is>
          <t>休</t>
        </is>
      </c>
      <c r="AB26" s="6" t="inlineStr">
        <is>
          <t>休</t>
        </is>
      </c>
      <c r="AC26" s="7" t="inlineStr">
        <is>
          <t>行政班</t>
        </is>
      </c>
      <c r="AD26" s="7" t="inlineStr">
        <is>
          <t>行政班</t>
        </is>
      </c>
      <c r="AE26" s="13" t="inlineStr">
        <is>
          <t>晚二</t>
        </is>
      </c>
      <c r="AF26" s="6" t="inlineStr">
        <is>
          <t>休</t>
        </is>
      </c>
      <c r="AG26" s="6" t="inlineStr">
        <is>
          <t>休</t>
        </is>
      </c>
      <c r="AH26" s="10" t="inlineStr">
        <is>
          <t>晚一</t>
        </is>
      </c>
      <c r="AI26" s="4">
        <f>COUNTIF(D26:AH26,"休")+COUNTIF(D26:AH26,"请假")</f>
        <v/>
      </c>
      <c r="AJ26" s="4">
        <f>COUNTIF(E26:AH26,"行政班")</f>
        <v/>
      </c>
      <c r="AK26" s="4">
        <f>COUNTIF(E26:AH26,"白班
(机动)")</f>
        <v/>
      </c>
      <c r="AL26" s="4">
        <f>COUNTIF(E26:AH26,"晚二")</f>
        <v/>
      </c>
      <c r="AM26" s="4">
        <f>COUNTIF(D26:AH26,"早早班
(IM)")</f>
        <v/>
      </c>
      <c r="AN26" s="4">
        <f>COUNTIF(D26:AH26,"早班")</f>
        <v/>
      </c>
      <c r="AO26" s="4">
        <f>COUNTIF(D26:AH26,"早三")</f>
        <v/>
      </c>
      <c r="AP26" s="4">
        <f>COUNTIF(D26:AH26,"白班")</f>
        <v/>
      </c>
      <c r="AQ26" s="4">
        <f>COUNTIF(D26:AH26,"中三")</f>
        <v/>
      </c>
      <c r="AR26" s="4">
        <f>COUNTIF(D26:AH26,"中四")</f>
        <v/>
      </c>
      <c r="AS26" s="4">
        <f>COUNTIF(D26:AH26,"晚一")+COUNTIF(D26:AH26,"晚一
(IM)")</f>
        <v/>
      </c>
      <c r="AT26" s="4">
        <f>COUNTIF(D26:AH26,"晚二")</f>
        <v/>
      </c>
      <c r="AU26" s="4">
        <f>COUNTIF(D26:AH26,"大夜")</f>
        <v/>
      </c>
    </row>
    <row r="27" ht="33" customHeight="1">
      <c r="A27" s="4" t="inlineStr">
        <is>
          <t xml:space="preserve"> 李艾洛</t>
        </is>
      </c>
      <c r="B27" s="4" t="inlineStr">
        <is>
          <t>63882</t>
        </is>
      </c>
      <c r="C27" s="4" t="inlineStr">
        <is>
          <t>在线</t>
        </is>
      </c>
      <c r="D27" s="6" t="inlineStr">
        <is>
          <t>休</t>
        </is>
      </c>
      <c r="E27" s="16" t="inlineStr">
        <is>
          <t>白班</t>
        </is>
      </c>
      <c r="F27" s="10" t="inlineStr">
        <is>
          <t>晚一</t>
        </is>
      </c>
      <c r="G27" s="13" t="inlineStr">
        <is>
          <t>晚二</t>
        </is>
      </c>
      <c r="H27" s="6" t="inlineStr">
        <is>
          <t>休</t>
        </is>
      </c>
      <c r="I27" s="11" t="inlineStr">
        <is>
          <t>早班</t>
        </is>
      </c>
      <c r="J27" s="12" t="inlineStr">
        <is>
          <t>早三</t>
        </is>
      </c>
      <c r="K27" s="7" t="inlineStr">
        <is>
          <t>行政班</t>
        </is>
      </c>
      <c r="L27" s="6" t="inlineStr">
        <is>
          <t>休</t>
        </is>
      </c>
      <c r="M27" s="10" t="inlineStr">
        <is>
          <t>晚一</t>
        </is>
      </c>
      <c r="N27" s="10" t="inlineStr">
        <is>
          <t>晚一</t>
        </is>
      </c>
      <c r="O27" s="14" t="inlineStr">
        <is>
          <t>中三</t>
        </is>
      </c>
      <c r="P27" s="13" t="inlineStr">
        <is>
          <t>晚二</t>
        </is>
      </c>
      <c r="Q27" s="15" t="inlineStr">
        <is>
          <t>中四</t>
        </is>
      </c>
      <c r="R27" s="6" t="inlineStr">
        <is>
          <t>休</t>
        </is>
      </c>
      <c r="S27" s="11" t="inlineStr">
        <is>
          <t>早班</t>
        </is>
      </c>
      <c r="T27" s="12" t="inlineStr">
        <is>
          <t>早三</t>
        </is>
      </c>
      <c r="U27" s="16" t="inlineStr">
        <is>
          <t>白班</t>
        </is>
      </c>
      <c r="V27" s="6" t="inlineStr">
        <is>
          <t>休</t>
        </is>
      </c>
      <c r="W27" s="6" t="inlineStr">
        <is>
          <t>休</t>
        </is>
      </c>
      <c r="X27" s="11" t="inlineStr">
        <is>
          <t>早班</t>
        </is>
      </c>
      <c r="Y27" s="7" t="inlineStr">
        <is>
          <t>行政班</t>
        </is>
      </c>
      <c r="Z27" s="15" t="inlineStr">
        <is>
          <t>中四</t>
        </is>
      </c>
      <c r="AA27" s="6" t="inlineStr">
        <is>
          <t>休</t>
        </is>
      </c>
      <c r="AB27" s="6" t="inlineStr">
        <is>
          <t>休</t>
        </is>
      </c>
      <c r="AC27" s="9" t="inlineStr">
        <is>
          <t>白班
(机动)</t>
        </is>
      </c>
      <c r="AD27" s="9" t="inlineStr">
        <is>
          <t>白班
(机动)</t>
        </is>
      </c>
      <c r="AE27" s="15" t="inlineStr">
        <is>
          <t>中四</t>
        </is>
      </c>
      <c r="AF27" s="6" t="inlineStr">
        <is>
          <t>休</t>
        </is>
      </c>
      <c r="AG27" s="6" t="inlineStr">
        <is>
          <t>休</t>
        </is>
      </c>
      <c r="AH27" s="15" t="inlineStr">
        <is>
          <t>中四</t>
        </is>
      </c>
      <c r="AI27" s="4">
        <f>COUNTIF(D27:AH27,"休")+COUNTIF(D27:AH27,"请假")</f>
        <v/>
      </c>
      <c r="AJ27" s="4">
        <f>COUNTIF(E27:AH27,"行政班")</f>
        <v/>
      </c>
      <c r="AK27" s="4">
        <f>COUNTIF(E27:AH27,"白班
(机动)")</f>
        <v/>
      </c>
      <c r="AL27" s="4">
        <f>COUNTIF(E27:AH27,"晚二")</f>
        <v/>
      </c>
      <c r="AM27" s="4">
        <f>COUNTIF(D27:AH27,"早早班
(IM)")</f>
        <v/>
      </c>
      <c r="AN27" s="4">
        <f>COUNTIF(D27:AH27,"早班")</f>
        <v/>
      </c>
      <c r="AO27" s="4">
        <f>COUNTIF(D27:AH27,"早三")</f>
        <v/>
      </c>
      <c r="AP27" s="4">
        <f>COUNTIF(D27:AH27,"白班")</f>
        <v/>
      </c>
      <c r="AQ27" s="4">
        <f>COUNTIF(D27:AH27,"中三")</f>
        <v/>
      </c>
      <c r="AR27" s="4">
        <f>COUNTIF(D27:AH27,"中四")</f>
        <v/>
      </c>
      <c r="AS27" s="4">
        <f>COUNTIF(D27:AH27,"晚一")+COUNTIF(D27:AH27,"晚一
(IM)")</f>
        <v/>
      </c>
      <c r="AT27" s="4">
        <f>COUNTIF(D27:AH27,"晚二")</f>
        <v/>
      </c>
      <c r="AU27" s="4">
        <f>COUNTIF(D27:AH27,"大夜")</f>
        <v/>
      </c>
    </row>
    <row r="28" ht="33" customHeight="1">
      <c r="A28" s="4" t="inlineStr">
        <is>
          <t xml:space="preserve"> 李蒙</t>
        </is>
      </c>
      <c r="B28" s="4" t="inlineStr">
        <is>
          <t>63367</t>
        </is>
      </c>
      <c r="C28" s="4" t="inlineStr">
        <is>
          <t>在线</t>
        </is>
      </c>
      <c r="D28" s="6" t="inlineStr">
        <is>
          <t>休</t>
        </is>
      </c>
      <c r="E28" s="9" t="inlineStr">
        <is>
          <t>白班
(机动)</t>
        </is>
      </c>
      <c r="F28" s="13" t="inlineStr">
        <is>
          <t>晚二</t>
        </is>
      </c>
      <c r="G28" s="14" t="inlineStr">
        <is>
          <t>中三</t>
        </is>
      </c>
      <c r="H28" s="6" t="inlineStr">
        <is>
          <t>休</t>
        </is>
      </c>
      <c r="I28" s="11" t="inlineStr">
        <is>
          <t>早班</t>
        </is>
      </c>
      <c r="J28" s="12" t="inlineStr">
        <is>
          <t>早三</t>
        </is>
      </c>
      <c r="K28" s="16" t="inlineStr">
        <is>
          <t>白班</t>
        </is>
      </c>
      <c r="L28" s="10" t="inlineStr">
        <is>
          <t>晚一</t>
        </is>
      </c>
      <c r="M28" s="6" t="inlineStr">
        <is>
          <t>休</t>
        </is>
      </c>
      <c r="N28" s="7" t="inlineStr">
        <is>
          <t>行政班</t>
        </is>
      </c>
      <c r="O28" s="11" t="inlineStr">
        <is>
          <t>早班</t>
        </is>
      </c>
      <c r="P28" s="7" t="inlineStr">
        <is>
          <t>行政班</t>
        </is>
      </c>
      <c r="Q28" s="14" t="inlineStr">
        <is>
          <t>中三</t>
        </is>
      </c>
      <c r="R28" s="14" t="inlineStr">
        <is>
          <t>中三</t>
        </is>
      </c>
      <c r="S28" s="6" t="inlineStr">
        <is>
          <t>休</t>
        </is>
      </c>
      <c r="T28" s="6" t="inlineStr">
        <is>
          <t>休</t>
        </is>
      </c>
      <c r="U28" s="7" t="inlineStr">
        <is>
          <t>行政班</t>
        </is>
      </c>
      <c r="V28" s="13" t="inlineStr">
        <is>
          <t>晚二</t>
        </is>
      </c>
      <c r="W28" s="10" t="inlineStr">
        <is>
          <t>晚一</t>
        </is>
      </c>
      <c r="X28" s="6" t="inlineStr">
        <is>
          <t>休</t>
        </is>
      </c>
      <c r="Y28" s="11" t="inlineStr">
        <is>
          <t>早班</t>
        </is>
      </c>
      <c r="Z28" s="11" t="inlineStr">
        <is>
          <t>早班</t>
        </is>
      </c>
      <c r="AA28" s="6" t="inlineStr">
        <is>
          <t>休</t>
        </is>
      </c>
      <c r="AB28" s="6" t="inlineStr">
        <is>
          <t>休</t>
        </is>
      </c>
      <c r="AC28" s="10" t="inlineStr">
        <is>
          <t>晚一</t>
        </is>
      </c>
      <c r="AD28" s="15" t="inlineStr">
        <is>
          <t>中四</t>
        </is>
      </c>
      <c r="AE28" s="10" t="inlineStr">
        <is>
          <t>晚一</t>
        </is>
      </c>
      <c r="AF28" s="6" t="inlineStr">
        <is>
          <t>休</t>
        </is>
      </c>
      <c r="AG28" s="6" t="inlineStr">
        <is>
          <t>休</t>
        </is>
      </c>
      <c r="AH28" s="9" t="inlineStr">
        <is>
          <t>白班
(机动)</t>
        </is>
      </c>
      <c r="AI28" s="4">
        <f>COUNTIF(D28:AH28,"休")+COUNTIF(D28:AH28,"请假")</f>
        <v/>
      </c>
      <c r="AJ28" s="4">
        <f>COUNTIF(E28:AH28,"行政班")</f>
        <v/>
      </c>
      <c r="AK28" s="4">
        <f>COUNTIF(E28:AH28,"白班
(机动)")</f>
        <v/>
      </c>
      <c r="AL28" s="4">
        <f>COUNTIF(E28:AH28,"晚二")</f>
        <v/>
      </c>
      <c r="AM28" s="4">
        <f>COUNTIF(D28:AH28,"早早班
(IM)")</f>
        <v/>
      </c>
      <c r="AN28" s="4">
        <f>COUNTIF(D28:AH28,"早班")</f>
        <v/>
      </c>
      <c r="AO28" s="4">
        <f>COUNTIF(D28:AH28,"早三")</f>
        <v/>
      </c>
      <c r="AP28" s="4">
        <f>COUNTIF(D28:AH28,"白班")</f>
        <v/>
      </c>
      <c r="AQ28" s="4">
        <f>COUNTIF(D28:AH28,"中三")</f>
        <v/>
      </c>
      <c r="AR28" s="4">
        <f>COUNTIF(D28:AH28,"中四")</f>
        <v/>
      </c>
      <c r="AS28" s="4">
        <f>COUNTIF(D28:AH28,"晚一")+COUNTIF(D28:AH28,"晚一
(IM)")</f>
        <v/>
      </c>
      <c r="AT28" s="4">
        <f>COUNTIF(D28:AH28,"晚二")</f>
        <v/>
      </c>
      <c r="AU28" s="4">
        <f>COUNTIF(D28:AH28,"大夜")</f>
        <v/>
      </c>
    </row>
    <row r="29" ht="33" customHeight="1">
      <c r="A29" s="4" t="inlineStr">
        <is>
          <t xml:space="preserve"> 贺亚兰</t>
        </is>
      </c>
      <c r="B29" s="4" t="inlineStr">
        <is>
          <t>63809</t>
        </is>
      </c>
      <c r="C29" s="4" t="inlineStr">
        <is>
          <t>在线</t>
        </is>
      </c>
      <c r="D29" s="6" t="inlineStr">
        <is>
          <t>休</t>
        </is>
      </c>
      <c r="E29" s="6" t="inlineStr">
        <is>
          <t>休</t>
        </is>
      </c>
      <c r="F29" s="14" t="inlineStr">
        <is>
          <t>中三</t>
        </is>
      </c>
      <c r="G29" s="10" t="inlineStr">
        <is>
          <t>晚一</t>
        </is>
      </c>
      <c r="H29" s="10" t="inlineStr">
        <is>
          <t>晚一</t>
        </is>
      </c>
      <c r="I29" s="6" t="inlineStr">
        <is>
          <t>休</t>
        </is>
      </c>
      <c r="J29" s="11" t="inlineStr">
        <is>
          <t>早班</t>
        </is>
      </c>
      <c r="K29" s="11" t="inlineStr">
        <is>
          <t>早班</t>
        </is>
      </c>
      <c r="L29" s="12" t="inlineStr">
        <is>
          <t>早三</t>
        </is>
      </c>
      <c r="M29" s="9" t="inlineStr">
        <is>
          <t>白班
(机动)</t>
        </is>
      </c>
      <c r="N29" s="16" t="inlineStr">
        <is>
          <t>白班</t>
        </is>
      </c>
      <c r="O29" s="6" t="inlineStr">
        <is>
          <t>休</t>
        </is>
      </c>
      <c r="P29" s="7" t="inlineStr">
        <is>
          <t>行政班</t>
        </is>
      </c>
      <c r="Q29" s="11" t="inlineStr">
        <is>
          <t>早班</t>
        </is>
      </c>
      <c r="R29" s="13" t="inlineStr">
        <is>
          <t>晚二</t>
        </is>
      </c>
      <c r="S29" s="10" t="inlineStr">
        <is>
          <t>晚一</t>
        </is>
      </c>
      <c r="T29" s="10" t="inlineStr">
        <is>
          <t>晚一</t>
        </is>
      </c>
      <c r="U29" s="6" t="inlineStr">
        <is>
          <t>休</t>
        </is>
      </c>
      <c r="V29" s="7" t="inlineStr">
        <is>
          <t>行政班</t>
        </is>
      </c>
      <c r="W29" s="11" t="inlineStr">
        <is>
          <t>早班</t>
        </is>
      </c>
      <c r="X29" s="13" t="inlineStr">
        <is>
          <t>晚二</t>
        </is>
      </c>
      <c r="Y29" s="6" t="inlineStr">
        <is>
          <t>休</t>
        </is>
      </c>
      <c r="Z29" s="6" t="inlineStr">
        <is>
          <t>休</t>
        </is>
      </c>
      <c r="AA29" s="16" t="inlineStr">
        <is>
          <t>白班</t>
        </is>
      </c>
      <c r="AB29" s="10" t="inlineStr">
        <is>
          <t>晚一</t>
        </is>
      </c>
      <c r="AC29" s="6" t="inlineStr">
        <is>
          <t>休</t>
        </is>
      </c>
      <c r="AD29" s="6" t="inlineStr">
        <is>
          <t>休</t>
        </is>
      </c>
      <c r="AE29" s="16" t="inlineStr">
        <is>
          <t>白班</t>
        </is>
      </c>
      <c r="AF29" s="10" t="inlineStr">
        <is>
          <t>晚一</t>
        </is>
      </c>
      <c r="AG29" s="6" t="inlineStr">
        <is>
          <t>休</t>
        </is>
      </c>
      <c r="AH29" s="14" t="inlineStr">
        <is>
          <t>中三</t>
        </is>
      </c>
      <c r="AI29" s="4">
        <f>COUNTIF(D29:AH29,"休")+COUNTIF(D29:AH29,"请假")</f>
        <v/>
      </c>
      <c r="AJ29" s="4">
        <f>COUNTIF(E29:AH29,"行政班")</f>
        <v/>
      </c>
      <c r="AK29" s="4">
        <f>COUNTIF(E29:AH29,"白班
(机动)")</f>
        <v/>
      </c>
      <c r="AL29" s="4">
        <f>COUNTIF(E29:AH29,"晚二")</f>
        <v/>
      </c>
      <c r="AM29" s="4">
        <f>COUNTIF(D29:AH29,"早早班
(IM)")</f>
        <v/>
      </c>
      <c r="AN29" s="4">
        <f>COUNTIF(D29:AH29,"早班")</f>
        <v/>
      </c>
      <c r="AO29" s="4">
        <f>COUNTIF(D29:AH29,"早三")</f>
        <v/>
      </c>
      <c r="AP29" s="4">
        <f>COUNTIF(D29:AH29,"白班")</f>
        <v/>
      </c>
      <c r="AQ29" s="4">
        <f>COUNTIF(D29:AH29,"中三")</f>
        <v/>
      </c>
      <c r="AR29" s="4">
        <f>COUNTIF(D29:AH29,"中四")</f>
        <v/>
      </c>
      <c r="AS29" s="4">
        <f>COUNTIF(D29:AH29,"晚一")+COUNTIF(D29:AH29,"晚一
(IM)")</f>
        <v/>
      </c>
      <c r="AT29" s="4">
        <f>COUNTIF(D29:AH29,"晚二")</f>
        <v/>
      </c>
      <c r="AU29" s="4">
        <f>COUNTIF(D29:AH29,"大夜")</f>
        <v/>
      </c>
    </row>
    <row r="30" ht="33" customHeight="1">
      <c r="A30" s="4" t="inlineStr">
        <is>
          <t xml:space="preserve"> 邵今令</t>
        </is>
      </c>
      <c r="B30" s="4" t="inlineStr">
        <is>
          <t>63849</t>
        </is>
      </c>
      <c r="C30" s="4" t="inlineStr">
        <is>
          <t>在线</t>
        </is>
      </c>
      <c r="D30" s="6" t="inlineStr">
        <is>
          <t>休</t>
        </is>
      </c>
      <c r="E30" s="12" t="inlineStr">
        <is>
          <t>早三</t>
        </is>
      </c>
      <c r="F30" s="15" t="inlineStr">
        <is>
          <t>中四</t>
        </is>
      </c>
      <c r="G30" s="10" t="inlineStr">
        <is>
          <t>晚一</t>
        </is>
      </c>
      <c r="H30" s="10" t="inlineStr">
        <is>
          <t>晚一</t>
        </is>
      </c>
      <c r="I30" s="6" t="inlineStr">
        <is>
          <t>休</t>
        </is>
      </c>
      <c r="J30" s="11" t="inlineStr">
        <is>
          <t>早班</t>
        </is>
      </c>
      <c r="K30" s="9" t="inlineStr">
        <is>
          <t>白班
(机动)</t>
        </is>
      </c>
      <c r="L30" s="16" t="inlineStr">
        <is>
          <t>白班</t>
        </is>
      </c>
      <c r="M30" s="12" t="inlineStr">
        <is>
          <t>早三</t>
        </is>
      </c>
      <c r="N30" s="6" t="inlineStr">
        <is>
          <t>休</t>
        </is>
      </c>
      <c r="O30" s="16" t="inlineStr">
        <is>
          <t>白班</t>
        </is>
      </c>
      <c r="P30" s="12" t="inlineStr">
        <is>
          <t>早三</t>
        </is>
      </c>
      <c r="Q30" s="12" t="inlineStr">
        <is>
          <t>早三</t>
        </is>
      </c>
      <c r="R30" s="10" t="inlineStr">
        <is>
          <t>晚一</t>
        </is>
      </c>
      <c r="S30" s="6" t="inlineStr">
        <is>
          <t>休</t>
        </is>
      </c>
      <c r="T30" s="6" t="inlineStr">
        <is>
          <t>休</t>
        </is>
      </c>
      <c r="U30" s="13" t="inlineStr">
        <is>
          <t>晚二</t>
        </is>
      </c>
      <c r="V30" s="10" t="inlineStr">
        <is>
          <t>晚一</t>
        </is>
      </c>
      <c r="W30" s="6" t="inlineStr">
        <is>
          <t>休</t>
        </is>
      </c>
      <c r="X30" s="10" t="inlineStr">
        <is>
          <t>晚一</t>
        </is>
      </c>
      <c r="Y30" s="10" t="inlineStr">
        <is>
          <t>晚一</t>
        </is>
      </c>
      <c r="Z30" s="10" t="inlineStr">
        <is>
          <t>晚一</t>
        </is>
      </c>
      <c r="AA30" s="6" t="inlineStr">
        <is>
          <t>休</t>
        </is>
      </c>
      <c r="AB30" s="6" t="inlineStr">
        <is>
          <t>休</t>
        </is>
      </c>
      <c r="AC30" s="12" t="inlineStr">
        <is>
          <t>早三</t>
        </is>
      </c>
      <c r="AD30" s="11" t="inlineStr">
        <is>
          <t>早班</t>
        </is>
      </c>
      <c r="AE30" s="12" t="inlineStr">
        <is>
          <t>早三</t>
        </is>
      </c>
      <c r="AF30" s="6" t="inlineStr">
        <is>
          <t>休</t>
        </is>
      </c>
      <c r="AG30" s="6" t="inlineStr">
        <is>
          <t>休</t>
        </is>
      </c>
      <c r="AH30" s="13" t="inlineStr">
        <is>
          <t>晚二</t>
        </is>
      </c>
      <c r="AI30" s="4">
        <f>COUNTIF(D30:AH30,"休")+COUNTIF(D30:AH30,"请假")</f>
        <v/>
      </c>
      <c r="AJ30" s="4">
        <f>COUNTIF(E30:AH30,"行政班")</f>
        <v/>
      </c>
      <c r="AK30" s="4">
        <f>COUNTIF(E30:AH30,"白班
(机动)")</f>
        <v/>
      </c>
      <c r="AL30" s="4">
        <f>COUNTIF(E30:AH30,"晚二")</f>
        <v/>
      </c>
      <c r="AM30" s="4">
        <f>COUNTIF(D30:AH30,"早早班
(IM)")</f>
        <v/>
      </c>
      <c r="AN30" s="4">
        <f>COUNTIF(D30:AH30,"早班")</f>
        <v/>
      </c>
      <c r="AO30" s="4">
        <f>COUNTIF(D30:AH30,"早三")</f>
        <v/>
      </c>
      <c r="AP30" s="4">
        <f>COUNTIF(D30:AH30,"白班")</f>
        <v/>
      </c>
      <c r="AQ30" s="4">
        <f>COUNTIF(D30:AH30,"中三")</f>
        <v/>
      </c>
      <c r="AR30" s="4">
        <f>COUNTIF(D30:AH30,"中四")</f>
        <v/>
      </c>
      <c r="AS30" s="4">
        <f>COUNTIF(D30:AH30,"晚一")+COUNTIF(D30:AH30,"晚一
(IM)")</f>
        <v/>
      </c>
      <c r="AT30" s="4">
        <f>COUNTIF(D30:AH30,"晚二")</f>
        <v/>
      </c>
      <c r="AU30" s="4">
        <f>COUNTIF(D30:AH30,"大夜")</f>
        <v/>
      </c>
    </row>
    <row r="31" ht="33" customHeight="1">
      <c r="A31" s="4" t="inlineStr">
        <is>
          <t xml:space="preserve"> 马宇杰</t>
        </is>
      </c>
      <c r="B31" s="4" t="inlineStr">
        <is>
          <t>63805</t>
        </is>
      </c>
      <c r="C31" s="4" t="inlineStr">
        <is>
          <t>在线</t>
        </is>
      </c>
      <c r="D31" s="10" t="inlineStr">
        <is>
          <t>晚一</t>
        </is>
      </c>
      <c r="E31" s="14" t="inlineStr">
        <is>
          <t>中三</t>
        </is>
      </c>
      <c r="F31" s="6" t="inlineStr">
        <is>
          <t>休</t>
        </is>
      </c>
      <c r="G31" s="6" t="inlineStr">
        <is>
          <t>休</t>
        </is>
      </c>
      <c r="H31" s="16" t="inlineStr">
        <is>
          <t>白班</t>
        </is>
      </c>
      <c r="I31" s="11" t="inlineStr">
        <is>
          <t>早班</t>
        </is>
      </c>
      <c r="J31" s="11" t="inlineStr">
        <is>
          <t>早班</t>
        </is>
      </c>
      <c r="K31" s="11" t="inlineStr">
        <is>
          <t>早班</t>
        </is>
      </c>
      <c r="L31" s="6" t="inlineStr">
        <is>
          <t>休</t>
        </is>
      </c>
      <c r="M31" s="16" t="inlineStr">
        <is>
          <t>白班</t>
        </is>
      </c>
      <c r="N31" s="13" t="inlineStr">
        <is>
          <t>晚二</t>
        </is>
      </c>
      <c r="O31" s="10" t="inlineStr">
        <is>
          <t>晚一</t>
        </is>
      </c>
      <c r="P31" s="15" t="inlineStr">
        <is>
          <t>中四</t>
        </is>
      </c>
      <c r="Q31" s="13" t="inlineStr">
        <is>
          <t>晚二</t>
        </is>
      </c>
      <c r="R31" s="6" t="inlineStr">
        <is>
          <t>休</t>
        </is>
      </c>
      <c r="S31" s="16" t="inlineStr">
        <is>
          <t>白班</t>
        </is>
      </c>
      <c r="T31" s="9" t="inlineStr">
        <is>
          <t>白班
(机动)</t>
        </is>
      </c>
      <c r="U31" s="11" t="inlineStr">
        <is>
          <t>早班</t>
        </is>
      </c>
      <c r="V31" s="6" t="inlineStr">
        <is>
          <t>休</t>
        </is>
      </c>
      <c r="W31" s="6" t="inlineStr">
        <is>
          <t>休</t>
        </is>
      </c>
      <c r="X31" s="10" t="inlineStr">
        <is>
          <t>晚一</t>
        </is>
      </c>
      <c r="Y31" s="10" t="inlineStr">
        <is>
          <t>晚一</t>
        </is>
      </c>
      <c r="Z31" s="6" t="inlineStr">
        <is>
          <t>休</t>
        </is>
      </c>
      <c r="AA31" s="7" t="inlineStr">
        <is>
          <t>行政班</t>
        </is>
      </c>
      <c r="AB31" s="11" t="inlineStr">
        <is>
          <t>早班</t>
        </is>
      </c>
      <c r="AC31" s="6" t="inlineStr">
        <is>
          <t>休</t>
        </is>
      </c>
      <c r="AD31" s="16" t="inlineStr">
        <is>
          <t>白班</t>
        </is>
      </c>
      <c r="AE31" s="13" t="inlineStr">
        <is>
          <t>晚二</t>
        </is>
      </c>
      <c r="AF31" s="6" t="inlineStr">
        <is>
          <t>休</t>
        </is>
      </c>
      <c r="AG31" s="6" t="inlineStr">
        <is>
          <t>休</t>
        </is>
      </c>
      <c r="AH31" s="10" t="inlineStr">
        <is>
          <t>晚一</t>
        </is>
      </c>
      <c r="AI31" s="4">
        <f>COUNTIF(D31:AH31,"休")+COUNTIF(D31:AH31,"请假")</f>
        <v/>
      </c>
      <c r="AJ31" s="4">
        <f>COUNTIF(E31:AH31,"行政班")</f>
        <v/>
      </c>
      <c r="AK31" s="4">
        <f>COUNTIF(E31:AH31,"白班
(机动)")</f>
        <v/>
      </c>
      <c r="AL31" s="4">
        <f>COUNTIF(E31:AH31,"晚二")</f>
        <v/>
      </c>
      <c r="AM31" s="4">
        <f>COUNTIF(D31:AH31,"早早班
(IM)")</f>
        <v/>
      </c>
      <c r="AN31" s="4">
        <f>COUNTIF(D31:AH31,"早班")</f>
        <v/>
      </c>
      <c r="AO31" s="4">
        <f>COUNTIF(D31:AH31,"早三")</f>
        <v/>
      </c>
      <c r="AP31" s="4">
        <f>COUNTIF(D31:AH31,"白班")</f>
        <v/>
      </c>
      <c r="AQ31" s="4">
        <f>COUNTIF(D31:AH31,"中三")</f>
        <v/>
      </c>
      <c r="AR31" s="4">
        <f>COUNTIF(D31:AH31,"中四")</f>
        <v/>
      </c>
      <c r="AS31" s="4">
        <f>COUNTIF(D31:AH31,"晚一")+COUNTIF(D31:AH31,"晚一
(IM)")</f>
        <v/>
      </c>
      <c r="AT31" s="4">
        <f>COUNTIF(D31:AH31,"晚二")</f>
        <v/>
      </c>
      <c r="AU31" s="4">
        <f>COUNTIF(D31:AH31,"大夜")</f>
        <v/>
      </c>
    </row>
    <row r="32" ht="33" customHeight="1">
      <c r="A32" s="4" t="inlineStr">
        <is>
          <t xml:space="preserve"> 林雪薇</t>
        </is>
      </c>
      <c r="B32" s="4" t="inlineStr">
        <is>
          <t>63388</t>
        </is>
      </c>
      <c r="C32" s="4" t="inlineStr">
        <is>
          <t>在线</t>
        </is>
      </c>
      <c r="D32" s="10" t="inlineStr">
        <is>
          <t>晚一</t>
        </is>
      </c>
      <c r="E32" s="6" t="inlineStr">
        <is>
          <t>休</t>
        </is>
      </c>
      <c r="F32" s="7" t="inlineStr">
        <is>
          <t>行政班</t>
        </is>
      </c>
      <c r="G32" s="11" t="inlineStr">
        <is>
          <t>早班</t>
        </is>
      </c>
      <c r="H32" s="11" t="inlineStr">
        <is>
          <t>早班</t>
        </is>
      </c>
      <c r="I32" s="12" t="inlineStr">
        <is>
          <t>早三</t>
        </is>
      </c>
      <c r="J32" s="6" t="inlineStr">
        <is>
          <t>休</t>
        </is>
      </c>
      <c r="K32" s="10" t="inlineStr">
        <is>
          <t>晚一</t>
        </is>
      </c>
      <c r="L32" s="13" t="inlineStr">
        <is>
          <t>晚二</t>
        </is>
      </c>
      <c r="M32" s="10" t="inlineStr">
        <is>
          <t>晚一</t>
        </is>
      </c>
      <c r="N32" s="10" t="inlineStr">
        <is>
          <t>晚一</t>
        </is>
      </c>
      <c r="O32" s="15" t="inlineStr">
        <is>
          <t>中四</t>
        </is>
      </c>
      <c r="P32" s="6" t="inlineStr">
        <is>
          <t>休</t>
        </is>
      </c>
      <c r="Q32" s="6" t="inlineStr">
        <is>
          <t>休</t>
        </is>
      </c>
      <c r="R32" s="7" t="inlineStr">
        <is>
          <t>行政班</t>
        </is>
      </c>
      <c r="S32" s="9" t="inlineStr">
        <is>
          <t>白班
(机动)</t>
        </is>
      </c>
      <c r="T32" s="7" t="inlineStr">
        <is>
          <t>行政班</t>
        </is>
      </c>
      <c r="U32" s="6" t="inlineStr">
        <is>
          <t>休</t>
        </is>
      </c>
      <c r="V32" s="11" t="inlineStr">
        <is>
          <t>早班</t>
        </is>
      </c>
      <c r="W32" s="11" t="inlineStr">
        <is>
          <t>早班</t>
        </is>
      </c>
      <c r="X32" s="6" t="inlineStr">
        <is>
          <t>休</t>
        </is>
      </c>
      <c r="Y32" s="6" t="inlineStr">
        <is>
          <t>休</t>
        </is>
      </c>
      <c r="Z32" s="10" t="inlineStr">
        <is>
          <t>晚一</t>
        </is>
      </c>
      <c r="AA32" s="13" t="inlineStr">
        <is>
          <t>晚二</t>
        </is>
      </c>
      <c r="AB32" s="10" t="inlineStr">
        <is>
          <t>晚一</t>
        </is>
      </c>
      <c r="AC32" s="6" t="inlineStr">
        <is>
          <t>休</t>
        </is>
      </c>
      <c r="AD32" s="6" t="inlineStr">
        <is>
          <t>休</t>
        </is>
      </c>
      <c r="AE32" s="7" t="inlineStr">
        <is>
          <t>行政班</t>
        </is>
      </c>
      <c r="AF32" s="11" t="inlineStr">
        <is>
          <t>早班</t>
        </is>
      </c>
      <c r="AG32" s="9" t="inlineStr">
        <is>
          <t>白班
(机动)</t>
        </is>
      </c>
      <c r="AH32" s="6" t="inlineStr">
        <is>
          <t>休</t>
        </is>
      </c>
      <c r="AI32" s="4">
        <f>COUNTIF(D32:AH32,"休")+COUNTIF(D32:AH32,"请假")</f>
        <v/>
      </c>
      <c r="AJ32" s="4">
        <f>COUNTIF(E32:AH32,"行政班")</f>
        <v/>
      </c>
      <c r="AK32" s="4">
        <f>COUNTIF(E32:AH32,"白班
(机动)")</f>
        <v/>
      </c>
      <c r="AL32" s="4">
        <f>COUNTIF(E32:AH32,"晚二")</f>
        <v/>
      </c>
      <c r="AM32" s="4">
        <f>COUNTIF(D32:AH32,"早早班
(IM)")</f>
        <v/>
      </c>
      <c r="AN32" s="4">
        <f>COUNTIF(D32:AH32,"早班")</f>
        <v/>
      </c>
      <c r="AO32" s="4">
        <f>COUNTIF(D32:AH32,"早三")</f>
        <v/>
      </c>
      <c r="AP32" s="4">
        <f>COUNTIF(D32:AH32,"白班")</f>
        <v/>
      </c>
      <c r="AQ32" s="4">
        <f>COUNTIF(D32:AH32,"中三")</f>
        <v/>
      </c>
      <c r="AR32" s="4">
        <f>COUNTIF(D32:AH32,"中四")</f>
        <v/>
      </c>
      <c r="AS32" s="4">
        <f>COUNTIF(D32:AH32,"晚一")+COUNTIF(D32:AH32,"晚一
(IM)")</f>
        <v/>
      </c>
      <c r="AT32" s="4">
        <f>COUNTIF(D32:AH32,"晚二")</f>
        <v/>
      </c>
      <c r="AU32" s="4">
        <f>COUNTIF(D32:AH32,"大夜")</f>
        <v/>
      </c>
    </row>
    <row r="33" ht="33" customHeight="1">
      <c r="A33" s="4" t="inlineStr">
        <is>
          <t xml:space="preserve"> 李娜</t>
        </is>
      </c>
      <c r="B33" s="4" t="inlineStr">
        <is>
          <t>63655</t>
        </is>
      </c>
      <c r="C33" s="4" t="inlineStr">
        <is>
          <t>在线</t>
        </is>
      </c>
      <c r="D33" s="12" t="inlineStr">
        <is>
          <t>早三</t>
        </is>
      </c>
      <c r="E33" s="7" t="inlineStr">
        <is>
          <t>行政班</t>
        </is>
      </c>
      <c r="F33" s="6" t="inlineStr">
        <is>
          <t>休</t>
        </is>
      </c>
      <c r="G33" s="6" t="inlineStr">
        <is>
          <t>休</t>
        </is>
      </c>
      <c r="H33" s="13" t="inlineStr">
        <is>
          <t>晚二</t>
        </is>
      </c>
      <c r="I33" s="14" t="inlineStr">
        <is>
          <t>中三</t>
        </is>
      </c>
      <c r="J33" s="10" t="inlineStr">
        <is>
          <t>晚一</t>
        </is>
      </c>
      <c r="K33" s="15" t="inlineStr">
        <is>
          <t>中四</t>
        </is>
      </c>
      <c r="L33" s="6" t="inlineStr">
        <is>
          <t>休</t>
        </is>
      </c>
      <c r="M33" s="11" t="inlineStr">
        <is>
          <t>早班</t>
        </is>
      </c>
      <c r="N33" s="11" t="inlineStr">
        <is>
          <t>早班</t>
        </is>
      </c>
      <c r="O33" s="16" t="inlineStr">
        <is>
          <t>白班</t>
        </is>
      </c>
      <c r="P33" s="12" t="inlineStr">
        <is>
          <t>早三</t>
        </is>
      </c>
      <c r="Q33" s="16" t="inlineStr">
        <is>
          <t>白班</t>
        </is>
      </c>
      <c r="R33" s="6" t="inlineStr">
        <is>
          <t>休</t>
        </is>
      </c>
      <c r="S33" s="10" t="inlineStr">
        <is>
          <t>晚一</t>
        </is>
      </c>
      <c r="T33" s="10" t="inlineStr">
        <is>
          <t>晚一</t>
        </is>
      </c>
      <c r="U33" s="10" t="inlineStr">
        <is>
          <t>晚一</t>
        </is>
      </c>
      <c r="V33" s="6" t="inlineStr">
        <is>
          <t>休</t>
        </is>
      </c>
      <c r="W33" s="6" t="inlineStr">
        <is>
          <t>休</t>
        </is>
      </c>
      <c r="X33" s="7" t="inlineStr">
        <is>
          <t>行政班</t>
        </is>
      </c>
      <c r="Y33" s="9" t="inlineStr">
        <is>
          <t>白班
(机动)</t>
        </is>
      </c>
      <c r="Z33" s="6" t="inlineStr">
        <is>
          <t>休</t>
        </is>
      </c>
      <c r="AA33" s="6" t="inlineStr">
        <is>
          <t>休</t>
        </is>
      </c>
      <c r="AB33" s="11" t="inlineStr">
        <is>
          <t>早班</t>
        </is>
      </c>
      <c r="AC33" s="13" t="inlineStr">
        <is>
          <t>晚二</t>
        </is>
      </c>
      <c r="AD33" s="10" t="inlineStr">
        <is>
          <t>晚一</t>
        </is>
      </c>
      <c r="AE33" s="6" t="inlineStr">
        <is>
          <t>休</t>
        </is>
      </c>
      <c r="AF33" s="9" t="inlineStr">
        <is>
          <t>白班
(机动)</t>
        </is>
      </c>
      <c r="AG33" s="12" t="inlineStr">
        <is>
          <t>早三</t>
        </is>
      </c>
      <c r="AH33" s="6" t="inlineStr">
        <is>
          <t>休</t>
        </is>
      </c>
      <c r="AI33" s="4">
        <f>COUNTIF(D33:AH33,"休")+COUNTIF(D33:AH33,"请假")</f>
        <v/>
      </c>
      <c r="AJ33" s="4">
        <f>COUNTIF(E33:AH33,"行政班")</f>
        <v/>
      </c>
      <c r="AK33" s="4">
        <f>COUNTIF(E33:AH33,"白班
(机动)")</f>
        <v/>
      </c>
      <c r="AL33" s="4">
        <f>COUNTIF(E33:AH33,"晚二")</f>
        <v/>
      </c>
      <c r="AM33" s="4">
        <f>COUNTIF(D33:AH33,"早早班
(IM)")</f>
        <v/>
      </c>
      <c r="AN33" s="4">
        <f>COUNTIF(D33:AH33,"早班")</f>
        <v/>
      </c>
      <c r="AO33" s="4">
        <f>COUNTIF(D33:AH33,"早三")</f>
        <v/>
      </c>
      <c r="AP33" s="4">
        <f>COUNTIF(D33:AH33,"白班")</f>
        <v/>
      </c>
      <c r="AQ33" s="4">
        <f>COUNTIF(D33:AH33,"中三")</f>
        <v/>
      </c>
      <c r="AR33" s="4">
        <f>COUNTIF(D33:AH33,"中四")</f>
        <v/>
      </c>
      <c r="AS33" s="4">
        <f>COUNTIF(D33:AH33,"晚一")+COUNTIF(D33:AH33,"晚一
(IM)")</f>
        <v/>
      </c>
      <c r="AT33" s="4">
        <f>COUNTIF(D33:AH33,"晚二")</f>
        <v/>
      </c>
      <c r="AU33" s="4">
        <f>COUNTIF(D33:AH33,"大夜")</f>
        <v/>
      </c>
    </row>
    <row r="34" ht="33" customHeight="1">
      <c r="A34" s="4" t="inlineStr">
        <is>
          <t xml:space="preserve"> 陈文萍</t>
        </is>
      </c>
      <c r="B34" s="4" t="inlineStr">
        <is>
          <t>63874</t>
        </is>
      </c>
      <c r="C34" s="4" t="inlineStr">
        <is>
          <t>在线</t>
        </is>
      </c>
      <c r="D34" s="11" t="inlineStr">
        <is>
          <t>早班</t>
        </is>
      </c>
      <c r="E34" s="6" t="inlineStr">
        <is>
          <t>休</t>
        </is>
      </c>
      <c r="F34" s="10" t="inlineStr">
        <is>
          <t>晚一</t>
        </is>
      </c>
      <c r="G34" s="10" t="inlineStr">
        <is>
          <t>晚一</t>
        </is>
      </c>
      <c r="H34" s="13" t="inlineStr">
        <is>
          <t>晚二</t>
        </is>
      </c>
      <c r="I34" s="10" t="inlineStr">
        <is>
          <t>晚一</t>
        </is>
      </c>
      <c r="J34" s="6" t="inlineStr">
        <is>
          <t>休</t>
        </is>
      </c>
      <c r="K34" s="6" t="inlineStr">
        <is>
          <t>休</t>
        </is>
      </c>
      <c r="L34" s="7" t="inlineStr">
        <is>
          <t>行政班</t>
        </is>
      </c>
      <c r="M34" s="11" t="inlineStr">
        <is>
          <t>早班</t>
        </is>
      </c>
      <c r="N34" s="9" t="inlineStr">
        <is>
          <t>白班
(机动)</t>
        </is>
      </c>
      <c r="O34" s="11" t="inlineStr">
        <is>
          <t>早班</t>
        </is>
      </c>
      <c r="P34" s="6" t="inlineStr">
        <is>
          <t>休</t>
        </is>
      </c>
      <c r="Q34" s="16" t="inlineStr">
        <is>
          <t>白班</t>
        </is>
      </c>
      <c r="R34" s="12" t="inlineStr">
        <is>
          <t>早三</t>
        </is>
      </c>
      <c r="S34" s="10" t="inlineStr">
        <is>
          <t>晚一</t>
        </is>
      </c>
      <c r="T34" s="15" t="inlineStr">
        <is>
          <t>中四</t>
        </is>
      </c>
      <c r="U34" s="6" t="inlineStr">
        <is>
          <t>休</t>
        </is>
      </c>
      <c r="V34" s="11" t="inlineStr">
        <is>
          <t>早班</t>
        </is>
      </c>
      <c r="W34" s="16" t="inlineStr">
        <is>
          <t>白班</t>
        </is>
      </c>
      <c r="X34" s="6" t="inlineStr">
        <is>
          <t>休</t>
        </is>
      </c>
      <c r="Y34" s="6" t="inlineStr">
        <is>
          <t>休</t>
        </is>
      </c>
      <c r="Z34" s="10" t="inlineStr">
        <is>
          <t>晚一</t>
        </is>
      </c>
      <c r="AA34" s="14" t="inlineStr">
        <is>
          <t>中三</t>
        </is>
      </c>
      <c r="AB34" s="13" t="inlineStr">
        <is>
          <t>晚二</t>
        </is>
      </c>
      <c r="AC34" s="6" t="inlineStr">
        <is>
          <t>休</t>
        </is>
      </c>
      <c r="AD34" s="6" t="inlineStr">
        <is>
          <t>休</t>
        </is>
      </c>
      <c r="AE34" s="16" t="inlineStr">
        <is>
          <t>白班</t>
        </is>
      </c>
      <c r="AF34" s="11" t="inlineStr">
        <is>
          <t>早班</t>
        </is>
      </c>
      <c r="AG34" s="6" t="inlineStr">
        <is>
          <t>休</t>
        </is>
      </c>
      <c r="AH34" s="12" t="inlineStr">
        <is>
          <t>早三</t>
        </is>
      </c>
      <c r="AI34" s="4">
        <f>COUNTIF(D34:AH34,"休")+COUNTIF(D34:AH34,"请假")</f>
        <v/>
      </c>
      <c r="AJ34" s="4">
        <f>COUNTIF(E34:AH34,"行政班")</f>
        <v/>
      </c>
      <c r="AK34" s="4">
        <f>COUNTIF(E34:AH34,"白班
(机动)")</f>
        <v/>
      </c>
      <c r="AL34" s="4">
        <f>COUNTIF(E34:AH34,"晚二")</f>
        <v/>
      </c>
      <c r="AM34" s="4">
        <f>COUNTIF(D34:AH34,"早早班
(IM)")</f>
        <v/>
      </c>
      <c r="AN34" s="4">
        <f>COUNTIF(D34:AH34,"早班")</f>
        <v/>
      </c>
      <c r="AO34" s="4">
        <f>COUNTIF(D34:AH34,"早三")</f>
        <v/>
      </c>
      <c r="AP34" s="4">
        <f>COUNTIF(D34:AH34,"白班")</f>
        <v/>
      </c>
      <c r="AQ34" s="4">
        <f>COUNTIF(D34:AH34,"中三")</f>
        <v/>
      </c>
      <c r="AR34" s="4">
        <f>COUNTIF(D34:AH34,"中四")</f>
        <v/>
      </c>
      <c r="AS34" s="4">
        <f>COUNTIF(D34:AH34,"晚一")+COUNTIF(D34:AH34,"晚一
(IM)")</f>
        <v/>
      </c>
      <c r="AT34" s="4">
        <f>COUNTIF(D34:AH34,"晚二")</f>
        <v/>
      </c>
      <c r="AU34" s="4">
        <f>COUNTIF(D34:AH34,"大夜")</f>
        <v/>
      </c>
    </row>
    <row r="35" ht="33" customHeight="1">
      <c r="A35" s="4" t="inlineStr">
        <is>
          <t xml:space="preserve"> 张怡顺</t>
        </is>
      </c>
      <c r="B35" s="4" t="inlineStr">
        <is>
          <t>63837</t>
        </is>
      </c>
      <c r="C35" s="4" t="inlineStr">
        <is>
          <t>在线</t>
        </is>
      </c>
      <c r="D35" s="11" t="inlineStr">
        <is>
          <t>早班</t>
        </is>
      </c>
      <c r="E35" s="6" t="inlineStr">
        <is>
          <t>休</t>
        </is>
      </c>
      <c r="F35" s="11" t="inlineStr">
        <is>
          <t>早班</t>
        </is>
      </c>
      <c r="G35" s="15" t="inlineStr">
        <is>
          <t>中四</t>
        </is>
      </c>
      <c r="H35" s="14" t="inlineStr">
        <is>
          <t>中三</t>
        </is>
      </c>
      <c r="I35" s="10" t="inlineStr">
        <is>
          <t>晚一</t>
        </is>
      </c>
      <c r="J35" s="6" t="inlineStr">
        <is>
          <t>休</t>
        </is>
      </c>
      <c r="K35" s="6" t="inlineStr">
        <is>
          <t>休</t>
        </is>
      </c>
      <c r="L35" s="12" t="inlineStr">
        <is>
          <t>早三</t>
        </is>
      </c>
      <c r="M35" s="7" t="inlineStr">
        <is>
          <t>行政班</t>
        </is>
      </c>
      <c r="N35" s="12" t="inlineStr">
        <is>
          <t>早三</t>
        </is>
      </c>
      <c r="O35" s="11" t="inlineStr">
        <is>
          <t>早班</t>
        </is>
      </c>
      <c r="P35" s="7" t="inlineStr">
        <is>
          <t>行政班</t>
        </is>
      </c>
      <c r="Q35" s="6" t="inlineStr">
        <is>
          <t>休</t>
        </is>
      </c>
      <c r="R35" s="10" t="inlineStr">
        <is>
          <t>晚一</t>
        </is>
      </c>
      <c r="S35" s="14" t="inlineStr">
        <is>
          <t>中三</t>
        </is>
      </c>
      <c r="T35" s="13" t="inlineStr">
        <is>
          <t>晚二</t>
        </is>
      </c>
      <c r="U35" s="6" t="inlineStr">
        <is>
          <t>休</t>
        </is>
      </c>
      <c r="V35" s="9" t="inlineStr">
        <is>
          <t>白班
(机动)</t>
        </is>
      </c>
      <c r="W35" s="11" t="inlineStr">
        <is>
          <t>早班</t>
        </is>
      </c>
      <c r="X35" s="10" t="inlineStr">
        <is>
          <t>晚一</t>
        </is>
      </c>
      <c r="Y35" s="6" t="inlineStr">
        <is>
          <t>休</t>
        </is>
      </c>
      <c r="Z35" s="6" t="inlineStr">
        <is>
          <t>休</t>
        </is>
      </c>
      <c r="AA35" s="12" t="inlineStr">
        <is>
          <t>早三</t>
        </is>
      </c>
      <c r="AB35" s="10" t="inlineStr">
        <is>
          <t>晚一</t>
        </is>
      </c>
      <c r="AC35" s="6" t="inlineStr">
        <is>
          <t>休</t>
        </is>
      </c>
      <c r="AD35" s="6" t="inlineStr">
        <is>
          <t>休</t>
        </is>
      </c>
      <c r="AE35" s="11" t="inlineStr">
        <is>
          <t>早班</t>
        </is>
      </c>
      <c r="AF35" s="13" t="inlineStr">
        <is>
          <t>晚二</t>
        </is>
      </c>
      <c r="AG35" s="10" t="inlineStr">
        <is>
          <t>晚一</t>
        </is>
      </c>
      <c r="AH35" s="6" t="inlineStr">
        <is>
          <t>休</t>
        </is>
      </c>
      <c r="AI35" s="4">
        <f>COUNTIF(D35:AH35,"休")+COUNTIF(D35:AH35,"请假")</f>
        <v/>
      </c>
      <c r="AJ35" s="4">
        <f>COUNTIF(E35:AH35,"行政班")</f>
        <v/>
      </c>
      <c r="AK35" s="4">
        <f>COUNTIF(E35:AH35,"白班
(机动)")</f>
        <v/>
      </c>
      <c r="AL35" s="4">
        <f>COUNTIF(E35:AH35,"晚二")</f>
        <v/>
      </c>
      <c r="AM35" s="4">
        <f>COUNTIF(D35:AH35,"早早班
(IM)")</f>
        <v/>
      </c>
      <c r="AN35" s="4">
        <f>COUNTIF(D35:AH35,"早班")</f>
        <v/>
      </c>
      <c r="AO35" s="4">
        <f>COUNTIF(D35:AH35,"早三")</f>
        <v/>
      </c>
      <c r="AP35" s="4">
        <f>COUNTIF(D35:AH35,"白班")</f>
        <v/>
      </c>
      <c r="AQ35" s="4">
        <f>COUNTIF(D35:AH35,"中三")</f>
        <v/>
      </c>
      <c r="AR35" s="4">
        <f>COUNTIF(D35:AH35,"中四")</f>
        <v/>
      </c>
      <c r="AS35" s="4">
        <f>COUNTIF(D35:AH35,"晚一")+COUNTIF(D35:AH35,"晚一
(IM)")</f>
        <v/>
      </c>
      <c r="AT35" s="4">
        <f>COUNTIF(D35:AH35,"晚二")</f>
        <v/>
      </c>
      <c r="AU35" s="4">
        <f>COUNTIF(D35:AH35,"大夜")</f>
        <v/>
      </c>
    </row>
    <row r="36" ht="33" customHeight="1">
      <c r="A36" s="4" t="inlineStr">
        <is>
          <t xml:space="preserve"> 张慧琳</t>
        </is>
      </c>
      <c r="B36" s="4" t="inlineStr">
        <is>
          <t>63680</t>
        </is>
      </c>
      <c r="C36" s="4" t="inlineStr">
        <is>
          <t>在线</t>
        </is>
      </c>
      <c r="D36" s="16" t="inlineStr">
        <is>
          <t>白班</t>
        </is>
      </c>
      <c r="E36" s="6" t="inlineStr">
        <is>
          <t>休</t>
        </is>
      </c>
      <c r="F36" s="7" t="inlineStr">
        <is>
          <t>行政班</t>
        </is>
      </c>
      <c r="G36" s="7" t="inlineStr">
        <is>
          <t>行政班</t>
        </is>
      </c>
      <c r="H36" s="15" t="inlineStr">
        <is>
          <t>中四</t>
        </is>
      </c>
      <c r="I36" s="10" t="inlineStr">
        <is>
          <t>晚一</t>
        </is>
      </c>
      <c r="J36" s="15" t="inlineStr">
        <is>
          <t>中四</t>
        </is>
      </c>
      <c r="K36" s="6" t="inlineStr">
        <is>
          <t>休</t>
        </is>
      </c>
      <c r="L36" s="6" t="inlineStr">
        <is>
          <t>休</t>
        </is>
      </c>
      <c r="M36" s="16" t="inlineStr">
        <is>
          <t>白班</t>
        </is>
      </c>
      <c r="N36" s="11" t="inlineStr">
        <is>
          <t>早班</t>
        </is>
      </c>
      <c r="O36" s="7" t="inlineStr">
        <is>
          <t>行政班</t>
        </is>
      </c>
      <c r="P36" s="7" t="inlineStr">
        <is>
          <t>行政班</t>
        </is>
      </c>
      <c r="Q36" s="9" t="inlineStr">
        <is>
          <t>白班
(机动)</t>
        </is>
      </c>
      <c r="R36" s="6" t="inlineStr">
        <is>
          <t>休</t>
        </is>
      </c>
      <c r="S36" s="10" t="inlineStr">
        <is>
          <t>晚一</t>
        </is>
      </c>
      <c r="T36" s="13" t="inlineStr">
        <is>
          <t>晚二</t>
        </is>
      </c>
      <c r="U36" s="15" t="inlineStr">
        <is>
          <t>中四</t>
        </is>
      </c>
      <c r="V36" s="6" t="inlineStr">
        <is>
          <t>休</t>
        </is>
      </c>
      <c r="W36" s="6" t="inlineStr">
        <is>
          <t>休</t>
        </is>
      </c>
      <c r="X36" s="15" t="inlineStr">
        <is>
          <t>中四</t>
        </is>
      </c>
      <c r="Y36" s="14" t="inlineStr">
        <is>
          <t>中三</t>
        </is>
      </c>
      <c r="Z36" s="6" t="inlineStr">
        <is>
          <t>休</t>
        </is>
      </c>
      <c r="AA36" s="6" t="inlineStr">
        <is>
          <t>休</t>
        </is>
      </c>
      <c r="AB36" s="16" t="inlineStr">
        <is>
          <t>白班</t>
        </is>
      </c>
      <c r="AC36" s="16" t="inlineStr">
        <is>
          <t>白班</t>
        </is>
      </c>
      <c r="AD36" s="12" t="inlineStr">
        <is>
          <t>早三</t>
        </is>
      </c>
      <c r="AE36" s="6" t="inlineStr">
        <is>
          <t>休</t>
        </is>
      </c>
      <c r="AF36" s="6" t="inlineStr">
        <is>
          <t>休</t>
        </is>
      </c>
      <c r="AG36" s="13" t="inlineStr">
        <is>
          <t>晚二</t>
        </is>
      </c>
      <c r="AH36" s="10" t="inlineStr">
        <is>
          <t>晚一</t>
        </is>
      </c>
      <c r="AI36" s="4">
        <f>COUNTIF(D36:AH36,"休")+COUNTIF(D36:AH36,"请假")</f>
        <v/>
      </c>
      <c r="AJ36" s="4">
        <f>COUNTIF(E36:AH36,"行政班")</f>
        <v/>
      </c>
      <c r="AK36" s="4">
        <f>COUNTIF(E36:AH36,"白班
(机动)")</f>
        <v/>
      </c>
      <c r="AL36" s="4">
        <f>COUNTIF(E36:AH36,"晚二")</f>
        <v/>
      </c>
      <c r="AM36" s="4">
        <f>COUNTIF(D36:AH36,"早早班
(IM)")</f>
        <v/>
      </c>
      <c r="AN36" s="4">
        <f>COUNTIF(D36:AH36,"早班")</f>
        <v/>
      </c>
      <c r="AO36" s="4">
        <f>COUNTIF(D36:AH36,"早三")</f>
        <v/>
      </c>
      <c r="AP36" s="4">
        <f>COUNTIF(D36:AH36,"白班")</f>
        <v/>
      </c>
      <c r="AQ36" s="4">
        <f>COUNTIF(D36:AH36,"中三")</f>
        <v/>
      </c>
      <c r="AR36" s="4">
        <f>COUNTIF(D36:AH36,"中四")</f>
        <v/>
      </c>
      <c r="AS36" s="4">
        <f>COUNTIF(D36:AH36,"晚一")+COUNTIF(D36:AH36,"晚一
(IM)")</f>
        <v/>
      </c>
      <c r="AT36" s="4">
        <f>COUNTIF(D36:AH36,"晚二")</f>
        <v/>
      </c>
      <c r="AU36" s="4">
        <f>COUNTIF(D36:AH36,"大夜")</f>
        <v/>
      </c>
    </row>
    <row r="37" ht="33" customHeight="1">
      <c r="A37" s="4" t="inlineStr">
        <is>
          <t xml:space="preserve"> 葛宇</t>
        </is>
      </c>
      <c r="B37" s="4" t="inlineStr">
        <is>
          <t>63872</t>
        </is>
      </c>
      <c r="C37" s="4" t="inlineStr">
        <is>
          <t>在线</t>
        </is>
      </c>
      <c r="D37" s="12" t="inlineStr">
        <is>
          <t>早三</t>
        </is>
      </c>
      <c r="E37" s="6" t="inlineStr">
        <is>
          <t>休</t>
        </is>
      </c>
      <c r="F37" s="16" t="inlineStr">
        <is>
          <t>白班</t>
        </is>
      </c>
      <c r="G37" s="11" t="inlineStr">
        <is>
          <t>早班</t>
        </is>
      </c>
      <c r="H37" s="10" t="inlineStr">
        <is>
          <t>晚一</t>
        </is>
      </c>
      <c r="I37" s="13" t="inlineStr">
        <is>
          <t>晚二</t>
        </is>
      </c>
      <c r="J37" s="6" t="inlineStr">
        <is>
          <t>休</t>
        </is>
      </c>
      <c r="K37" s="6" t="inlineStr">
        <is>
          <t>休</t>
        </is>
      </c>
      <c r="L37" s="9" t="inlineStr">
        <is>
          <t>白班
(机动)</t>
        </is>
      </c>
      <c r="M37" s="7" t="inlineStr">
        <is>
          <t>行政班</t>
        </is>
      </c>
      <c r="N37" s="7" t="inlineStr">
        <is>
          <t>行政班</t>
        </is>
      </c>
      <c r="O37" s="10" t="inlineStr">
        <is>
          <t>晚一</t>
        </is>
      </c>
      <c r="P37" s="10" t="inlineStr">
        <is>
          <t>晚一</t>
        </is>
      </c>
      <c r="Q37" s="6" t="inlineStr">
        <is>
          <t>休</t>
        </is>
      </c>
      <c r="R37" s="11" t="inlineStr">
        <is>
          <t>早班</t>
        </is>
      </c>
      <c r="S37" s="7" t="inlineStr">
        <is>
          <t>行政班</t>
        </is>
      </c>
      <c r="T37" s="14" t="inlineStr">
        <is>
          <t>中三</t>
        </is>
      </c>
      <c r="U37" s="6" t="inlineStr">
        <is>
          <t>休</t>
        </is>
      </c>
      <c r="V37" s="10" t="inlineStr">
        <is>
          <t>晚一</t>
        </is>
      </c>
      <c r="W37" s="14" t="inlineStr">
        <is>
          <t>中三</t>
        </is>
      </c>
      <c r="X37" s="14" t="inlineStr">
        <is>
          <t>中三</t>
        </is>
      </c>
      <c r="Y37" s="6" t="inlineStr">
        <is>
          <t>休</t>
        </is>
      </c>
      <c r="Z37" s="6" t="inlineStr">
        <is>
          <t>休</t>
        </is>
      </c>
      <c r="AA37" s="6" t="inlineStr">
        <is>
          <t>休</t>
        </is>
      </c>
      <c r="AB37" s="12" t="inlineStr">
        <is>
          <t>早三</t>
        </is>
      </c>
      <c r="AC37" s="12" t="inlineStr">
        <is>
          <t>早三</t>
        </is>
      </c>
      <c r="AD37" s="12" t="inlineStr">
        <is>
          <t>早三</t>
        </is>
      </c>
      <c r="AE37" s="6" t="inlineStr">
        <is>
          <t>休</t>
        </is>
      </c>
      <c r="AF37" s="14" t="inlineStr">
        <is>
          <t>中三</t>
        </is>
      </c>
      <c r="AG37" s="14" t="inlineStr">
        <is>
          <t>中三</t>
        </is>
      </c>
      <c r="AH37" s="6" t="inlineStr">
        <is>
          <t>休</t>
        </is>
      </c>
      <c r="AI37" s="4">
        <f>COUNTIF(D37:AH37,"休")+COUNTIF(D37:AH37,"请假")</f>
        <v/>
      </c>
      <c r="AJ37" s="4">
        <f>COUNTIF(E37:AH37,"行政班")</f>
        <v/>
      </c>
      <c r="AK37" s="4">
        <f>COUNTIF(E37:AH37,"白班
(机动)")</f>
        <v/>
      </c>
      <c r="AL37" s="4">
        <f>COUNTIF(E37:AH37,"晚二")</f>
        <v/>
      </c>
      <c r="AM37" s="4">
        <f>COUNTIF(D37:AH37,"早早班
(IM)")</f>
        <v/>
      </c>
      <c r="AN37" s="4">
        <f>COUNTIF(D37:AH37,"早班")</f>
        <v/>
      </c>
      <c r="AO37" s="4">
        <f>COUNTIF(D37:AH37,"早三")</f>
        <v/>
      </c>
      <c r="AP37" s="4">
        <f>COUNTIF(D37:AH37,"白班")</f>
        <v/>
      </c>
      <c r="AQ37" s="4">
        <f>COUNTIF(D37:AH37,"中三")</f>
        <v/>
      </c>
      <c r="AR37" s="4">
        <f>COUNTIF(D37:AH37,"中四")</f>
        <v/>
      </c>
      <c r="AS37" s="4">
        <f>COUNTIF(D37:AH37,"晚一")+COUNTIF(D37:AH37,"晚一
(IM)")</f>
        <v/>
      </c>
      <c r="AT37" s="4">
        <f>COUNTIF(D37:AH37,"晚二")</f>
        <v/>
      </c>
      <c r="AU37" s="4">
        <f>COUNTIF(D37:AH37,"大夜")</f>
        <v/>
      </c>
    </row>
    <row r="38" ht="33" customHeight="1">
      <c r="A38" s="4" t="inlineStr">
        <is>
          <t xml:space="preserve"> 龚格</t>
        </is>
      </c>
      <c r="B38" s="4" t="inlineStr">
        <is>
          <t>63480</t>
        </is>
      </c>
      <c r="C38" s="4" t="inlineStr">
        <is>
          <t>在线</t>
        </is>
      </c>
      <c r="D38" s="7" t="inlineStr">
        <is>
          <t>行政班</t>
        </is>
      </c>
      <c r="E38" s="6" t="inlineStr">
        <is>
          <t>休</t>
        </is>
      </c>
      <c r="F38" s="11" t="inlineStr">
        <is>
          <t>早班</t>
        </is>
      </c>
      <c r="G38" s="7" t="inlineStr">
        <is>
          <t>行政班</t>
        </is>
      </c>
      <c r="H38" s="10" t="inlineStr">
        <is>
          <t>晚一</t>
        </is>
      </c>
      <c r="I38" s="10" t="inlineStr">
        <is>
          <t>晚一</t>
        </is>
      </c>
      <c r="J38" s="10" t="inlineStr">
        <is>
          <t>晚一</t>
        </is>
      </c>
      <c r="K38" s="6" t="inlineStr">
        <is>
          <t>休</t>
        </is>
      </c>
      <c r="L38" s="6" t="inlineStr">
        <is>
          <t>休</t>
        </is>
      </c>
      <c r="M38" s="7" t="inlineStr">
        <is>
          <t>行政班</t>
        </is>
      </c>
      <c r="N38" s="16" t="inlineStr">
        <is>
          <t>白班</t>
        </is>
      </c>
      <c r="O38" s="16" t="inlineStr">
        <is>
          <t>白班</t>
        </is>
      </c>
      <c r="P38" s="16" t="inlineStr">
        <is>
          <t>白班</t>
        </is>
      </c>
      <c r="Q38" s="12" t="inlineStr">
        <is>
          <t>早三</t>
        </is>
      </c>
      <c r="R38" s="6" t="inlineStr">
        <is>
          <t>休</t>
        </is>
      </c>
      <c r="S38" s="13" t="inlineStr">
        <is>
          <t>晚二</t>
        </is>
      </c>
      <c r="T38" s="10" t="inlineStr">
        <is>
          <t>晚一</t>
        </is>
      </c>
      <c r="U38" s="13" t="inlineStr">
        <is>
          <t>晚二</t>
        </is>
      </c>
      <c r="V38" s="6" t="inlineStr">
        <is>
          <t>休</t>
        </is>
      </c>
      <c r="W38" s="6" t="inlineStr">
        <is>
          <t>休</t>
        </is>
      </c>
      <c r="X38" s="12" t="inlineStr">
        <is>
          <t>早三</t>
        </is>
      </c>
      <c r="Y38" s="15" t="inlineStr">
        <is>
          <t>中四</t>
        </is>
      </c>
      <c r="Z38" s="6" t="inlineStr">
        <is>
          <t>休</t>
        </is>
      </c>
      <c r="AA38" s="6" t="inlineStr">
        <is>
          <t>休</t>
        </is>
      </c>
      <c r="AB38" s="9" t="inlineStr">
        <is>
          <t>白班
(机动)</t>
        </is>
      </c>
      <c r="AC38" s="13" t="inlineStr">
        <is>
          <t>晚二</t>
        </is>
      </c>
      <c r="AD38" s="10" t="inlineStr">
        <is>
          <t>晚一</t>
        </is>
      </c>
      <c r="AE38" s="6" t="inlineStr">
        <is>
          <t>休</t>
        </is>
      </c>
      <c r="AF38" s="12" t="inlineStr">
        <is>
          <t>早三</t>
        </is>
      </c>
      <c r="AG38" s="16" t="inlineStr">
        <is>
          <t>白班</t>
        </is>
      </c>
      <c r="AH38" s="6" t="inlineStr">
        <is>
          <t>休</t>
        </is>
      </c>
      <c r="AI38" s="4">
        <f>COUNTIF(D38:AH38,"休")+COUNTIF(D38:AH38,"请假")</f>
        <v/>
      </c>
      <c r="AJ38" s="4">
        <f>COUNTIF(E38:AH38,"行政班")</f>
        <v/>
      </c>
      <c r="AK38" s="4">
        <f>COUNTIF(E38:AH38,"白班
(机动)")</f>
        <v/>
      </c>
      <c r="AL38" s="4">
        <f>COUNTIF(E38:AH38,"晚二")</f>
        <v/>
      </c>
      <c r="AM38" s="4">
        <f>COUNTIF(D38:AH38,"早早班
(IM)")</f>
        <v/>
      </c>
      <c r="AN38" s="4">
        <f>COUNTIF(D38:AH38,"早班")</f>
        <v/>
      </c>
      <c r="AO38" s="4">
        <f>COUNTIF(D38:AH38,"早三")</f>
        <v/>
      </c>
      <c r="AP38" s="4">
        <f>COUNTIF(D38:AH38,"白班")</f>
        <v/>
      </c>
      <c r="AQ38" s="4">
        <f>COUNTIF(D38:AH38,"中三")</f>
        <v/>
      </c>
      <c r="AR38" s="4">
        <f>COUNTIF(D38:AH38,"中四")</f>
        <v/>
      </c>
      <c r="AS38" s="4">
        <f>COUNTIF(D38:AH38,"晚一")+COUNTIF(D38:AH38,"晚一
(IM)")</f>
        <v/>
      </c>
      <c r="AT38" s="4">
        <f>COUNTIF(D38:AH38,"晚二")</f>
        <v/>
      </c>
      <c r="AU38" s="4">
        <f>COUNTIF(D38:AH38,"大夜")</f>
        <v/>
      </c>
    </row>
    <row r="39" ht="33" customHeight="1">
      <c r="A39" s="4" t="inlineStr">
        <is>
          <t xml:space="preserve"> 陈瑞楠</t>
        </is>
      </c>
      <c r="B39" s="4" t="inlineStr">
        <is>
          <t>63819</t>
        </is>
      </c>
      <c r="C39" s="4" t="inlineStr">
        <is>
          <t>在线</t>
        </is>
      </c>
      <c r="D39" s="6" t="inlineStr">
        <is>
          <t>休</t>
        </is>
      </c>
      <c r="E39" s="11" t="inlineStr">
        <is>
          <t>早班</t>
        </is>
      </c>
      <c r="F39" s="7" t="inlineStr">
        <is>
          <t>行政班</t>
        </is>
      </c>
      <c r="G39" s="11" t="inlineStr">
        <is>
          <t>早班</t>
        </is>
      </c>
      <c r="H39" s="11" t="inlineStr">
        <is>
          <t>早班</t>
        </is>
      </c>
      <c r="I39" s="6" t="inlineStr">
        <is>
          <t>休</t>
        </is>
      </c>
      <c r="J39" s="13" t="inlineStr">
        <is>
          <t>晚二</t>
        </is>
      </c>
      <c r="K39" s="10" t="inlineStr">
        <is>
          <t>晚一</t>
        </is>
      </c>
      <c r="L39" s="10" t="inlineStr">
        <is>
          <t>晚一</t>
        </is>
      </c>
      <c r="M39" s="10" t="inlineStr">
        <is>
          <t>晚一</t>
        </is>
      </c>
      <c r="N39" s="6" t="inlineStr">
        <is>
          <t>休</t>
        </is>
      </c>
      <c r="O39" s="12" t="inlineStr">
        <is>
          <t>早三</t>
        </is>
      </c>
      <c r="P39" s="9" t="inlineStr">
        <is>
          <t>白班
(机动)</t>
        </is>
      </c>
      <c r="Q39" s="7" t="inlineStr">
        <is>
          <t>行政班</t>
        </is>
      </c>
      <c r="R39" s="11" t="inlineStr">
        <is>
          <t>早班</t>
        </is>
      </c>
      <c r="S39" s="6" t="inlineStr">
        <is>
          <t>休</t>
        </is>
      </c>
      <c r="T39" s="6" t="inlineStr">
        <is>
          <t>休</t>
        </is>
      </c>
      <c r="U39" s="10" t="inlineStr">
        <is>
          <t>晚一</t>
        </is>
      </c>
      <c r="V39" s="13" t="inlineStr">
        <is>
          <t>晚二</t>
        </is>
      </c>
      <c r="W39" s="10" t="inlineStr">
        <is>
          <t>晚一</t>
        </is>
      </c>
      <c r="X39" s="6" t="inlineStr">
        <is>
          <t>休</t>
        </is>
      </c>
      <c r="Y39" s="6" t="inlineStr">
        <is>
          <t>休</t>
        </is>
      </c>
      <c r="Z39" s="12" t="inlineStr">
        <is>
          <t>早三</t>
        </is>
      </c>
      <c r="AA39" s="16" t="inlineStr">
        <is>
          <t>白班</t>
        </is>
      </c>
      <c r="AB39" s="14" t="inlineStr">
        <is>
          <t>中三</t>
        </is>
      </c>
      <c r="AC39" s="6" t="inlineStr">
        <is>
          <t>休</t>
        </is>
      </c>
      <c r="AD39" s="6" t="inlineStr">
        <is>
          <t>休</t>
        </is>
      </c>
      <c r="AE39" s="9" t="inlineStr">
        <is>
          <t>白班
(机动)</t>
        </is>
      </c>
      <c r="AF39" s="10" t="inlineStr">
        <is>
          <t>晚一</t>
        </is>
      </c>
      <c r="AG39" s="6" t="inlineStr">
        <is>
          <t>休</t>
        </is>
      </c>
      <c r="AH39" s="16" t="inlineStr">
        <is>
          <t>白班</t>
        </is>
      </c>
      <c r="AI39" s="4">
        <f>COUNTIF(D39:AH39,"休")+COUNTIF(D39:AH39,"请假")</f>
        <v/>
      </c>
      <c r="AJ39" s="4">
        <f>COUNTIF(E39:AH39,"行政班")</f>
        <v/>
      </c>
      <c r="AK39" s="4">
        <f>COUNTIF(E39:AH39,"白班
(机动)")</f>
        <v/>
      </c>
      <c r="AL39" s="4">
        <f>COUNTIF(E39:AH39,"晚二")</f>
        <v/>
      </c>
      <c r="AM39" s="4">
        <f>COUNTIF(D39:AH39,"早早班
(IM)")</f>
        <v/>
      </c>
      <c r="AN39" s="4">
        <f>COUNTIF(D39:AH39,"早班")</f>
        <v/>
      </c>
      <c r="AO39" s="4">
        <f>COUNTIF(D39:AH39,"早三")</f>
        <v/>
      </c>
      <c r="AP39" s="4">
        <f>COUNTIF(D39:AH39,"白班")</f>
        <v/>
      </c>
      <c r="AQ39" s="4">
        <f>COUNTIF(D39:AH39,"中三")</f>
        <v/>
      </c>
      <c r="AR39" s="4">
        <f>COUNTIF(D39:AH39,"中四")</f>
        <v/>
      </c>
      <c r="AS39" s="4">
        <f>COUNTIF(D39:AH39,"晚一")+COUNTIF(D39:AH39,"晚一
(IM)")</f>
        <v/>
      </c>
      <c r="AT39" s="4">
        <f>COUNTIF(D39:AH39,"晚二")</f>
        <v/>
      </c>
      <c r="AU39" s="4">
        <f>COUNTIF(D39:AH39,"大夜")</f>
        <v/>
      </c>
    </row>
    <row r="40" ht="33" customHeight="1">
      <c r="A40" s="4" t="inlineStr">
        <is>
          <t xml:space="preserve"> 范敏</t>
        </is>
      </c>
      <c r="B40" s="4" t="inlineStr">
        <is>
          <t>63914</t>
        </is>
      </c>
      <c r="C40" s="4" t="inlineStr">
        <is>
          <t>在线</t>
        </is>
      </c>
      <c r="D40" s="6" t="inlineStr">
        <is>
          <t>休</t>
        </is>
      </c>
      <c r="E40" s="12" t="inlineStr">
        <is>
          <t>早三</t>
        </is>
      </c>
      <c r="F40" s="12" t="inlineStr">
        <is>
          <t>早三</t>
        </is>
      </c>
      <c r="G40" s="16" t="inlineStr">
        <is>
          <t>白班</t>
        </is>
      </c>
      <c r="H40" s="7" t="inlineStr">
        <is>
          <t>行政班</t>
        </is>
      </c>
      <c r="I40" s="15" t="inlineStr">
        <is>
          <t>中四</t>
        </is>
      </c>
      <c r="J40" s="6" t="inlineStr">
        <is>
          <t>休</t>
        </is>
      </c>
      <c r="K40" s="14" t="inlineStr">
        <is>
          <t>中三</t>
        </is>
      </c>
      <c r="L40" s="10" t="inlineStr">
        <is>
          <t>晚一</t>
        </is>
      </c>
      <c r="M40" s="13" t="inlineStr">
        <is>
          <t>晚二</t>
        </is>
      </c>
      <c r="N40" s="10" t="inlineStr">
        <is>
          <t>晚一</t>
        </is>
      </c>
      <c r="O40" s="10" t="inlineStr">
        <is>
          <t>晚一</t>
        </is>
      </c>
      <c r="P40" s="6" t="inlineStr">
        <is>
          <t>休</t>
        </is>
      </c>
      <c r="Q40" s="6" t="inlineStr">
        <is>
          <t>休</t>
        </is>
      </c>
      <c r="R40" s="9" t="inlineStr">
        <is>
          <t>白班
(机动)</t>
        </is>
      </c>
      <c r="S40" s="7" t="inlineStr">
        <is>
          <t>行政班</t>
        </is>
      </c>
      <c r="T40" s="11" t="inlineStr">
        <is>
          <t>早班</t>
        </is>
      </c>
      <c r="U40" s="6" t="inlineStr">
        <is>
          <t>休</t>
        </is>
      </c>
      <c r="V40" s="12" t="inlineStr">
        <is>
          <t>早三</t>
        </is>
      </c>
      <c r="W40" s="9" t="inlineStr">
        <is>
          <t>白班
(机动)</t>
        </is>
      </c>
      <c r="X40" s="13" t="inlineStr">
        <is>
          <t>晚二</t>
        </is>
      </c>
      <c r="Y40" s="6" t="inlineStr">
        <is>
          <t>休</t>
        </is>
      </c>
      <c r="Z40" s="6" t="inlineStr">
        <is>
          <t>休</t>
        </is>
      </c>
      <c r="AA40" s="11" t="inlineStr">
        <is>
          <t>早班</t>
        </is>
      </c>
      <c r="AB40" s="16" t="inlineStr">
        <is>
          <t>白班</t>
        </is>
      </c>
      <c r="AC40" s="6" t="inlineStr">
        <is>
          <t>休</t>
        </is>
      </c>
      <c r="AD40" s="10" t="inlineStr">
        <is>
          <t>晚一</t>
        </is>
      </c>
      <c r="AE40" s="10" t="inlineStr">
        <is>
          <t>晚一</t>
        </is>
      </c>
      <c r="AF40" s="6" t="inlineStr">
        <is>
          <t>休</t>
        </is>
      </c>
      <c r="AG40" s="6" t="inlineStr">
        <is>
          <t>休</t>
        </is>
      </c>
      <c r="AH40" s="16" t="inlineStr">
        <is>
          <t>白班</t>
        </is>
      </c>
      <c r="AI40" s="4">
        <f>COUNTIF(D40:AH40,"休")+COUNTIF(D40:AH40,"请假")</f>
        <v/>
      </c>
      <c r="AJ40" s="4">
        <f>COUNTIF(E40:AH40,"行政班")</f>
        <v/>
      </c>
      <c r="AK40" s="4">
        <f>COUNTIF(E40:AH40,"白班
(机动)")</f>
        <v/>
      </c>
      <c r="AL40" s="4">
        <f>COUNTIF(E40:AH40,"晚二")</f>
        <v/>
      </c>
      <c r="AM40" s="4">
        <f>COUNTIF(D40:AH40,"早早班
(IM)")</f>
        <v/>
      </c>
      <c r="AN40" s="4">
        <f>COUNTIF(D40:AH40,"早班")</f>
        <v/>
      </c>
      <c r="AO40" s="4">
        <f>COUNTIF(D40:AH40,"早三")</f>
        <v/>
      </c>
      <c r="AP40" s="4">
        <f>COUNTIF(D40:AH40,"白班")</f>
        <v/>
      </c>
      <c r="AQ40" s="4">
        <f>COUNTIF(D40:AH40,"中三")</f>
        <v/>
      </c>
      <c r="AR40" s="4">
        <f>COUNTIF(D40:AH40,"中四")</f>
        <v/>
      </c>
      <c r="AS40" s="4">
        <f>COUNTIF(D40:AH40,"晚一")+COUNTIF(D40:AH40,"晚一
(IM)")</f>
        <v/>
      </c>
      <c r="AT40" s="4">
        <f>COUNTIF(D40:AH40,"晚二")</f>
        <v/>
      </c>
      <c r="AU40" s="4">
        <f>COUNTIF(D40:AH40,"大夜")</f>
        <v/>
      </c>
    </row>
    <row r="41" ht="33" customHeight="1">
      <c r="A41" s="4" t="inlineStr">
        <is>
          <t xml:space="preserve"> 徐学宇</t>
        </is>
      </c>
      <c r="B41" s="4" t="inlineStr">
        <is>
          <t>63894</t>
        </is>
      </c>
      <c r="C41" s="4" t="inlineStr">
        <is>
          <t>在线</t>
        </is>
      </c>
      <c r="D41" s="6" t="inlineStr">
        <is>
          <t>休</t>
        </is>
      </c>
      <c r="E41" s="11" t="inlineStr">
        <is>
          <t>早班</t>
        </is>
      </c>
      <c r="F41" s="16" t="inlineStr">
        <is>
          <t>白班</t>
        </is>
      </c>
      <c r="G41" s="7" t="inlineStr">
        <is>
          <t>行政班</t>
        </is>
      </c>
      <c r="H41" s="9" t="inlineStr">
        <is>
          <t>白班
(机动)</t>
        </is>
      </c>
      <c r="I41" s="6" t="inlineStr">
        <is>
          <t>休</t>
        </is>
      </c>
      <c r="J41" s="10" t="inlineStr">
        <is>
          <t>晚一</t>
        </is>
      </c>
      <c r="K41" s="13" t="inlineStr">
        <is>
          <t>晚二</t>
        </is>
      </c>
      <c r="L41" s="14" t="inlineStr">
        <is>
          <t>中三</t>
        </is>
      </c>
      <c r="M41" s="10" t="inlineStr">
        <is>
          <t>晚一</t>
        </is>
      </c>
      <c r="N41" s="13" t="inlineStr">
        <is>
          <t>晚二</t>
        </is>
      </c>
      <c r="O41" s="6" t="inlineStr">
        <is>
          <t>休</t>
        </is>
      </c>
      <c r="P41" s="6" t="inlineStr">
        <is>
          <t>休</t>
        </is>
      </c>
      <c r="Q41" s="11" t="inlineStr">
        <is>
          <t>早班</t>
        </is>
      </c>
      <c r="R41" s="12" t="inlineStr">
        <is>
          <t>早三</t>
        </is>
      </c>
      <c r="S41" s="12" t="inlineStr">
        <is>
          <t>早三</t>
        </is>
      </c>
      <c r="T41" s="6" t="inlineStr">
        <is>
          <t>休</t>
        </is>
      </c>
      <c r="U41" s="11" t="inlineStr">
        <is>
          <t>早班</t>
        </is>
      </c>
      <c r="V41" s="15" t="inlineStr">
        <is>
          <t>中四</t>
        </is>
      </c>
      <c r="W41" s="10" t="inlineStr">
        <is>
          <t>晚一</t>
        </is>
      </c>
      <c r="X41" s="6" t="inlineStr">
        <is>
          <t>休</t>
        </is>
      </c>
      <c r="Y41" s="11" t="inlineStr">
        <is>
          <t>早班</t>
        </is>
      </c>
      <c r="Z41" s="16" t="inlineStr">
        <is>
          <t>白班</t>
        </is>
      </c>
      <c r="AA41" s="6" t="inlineStr">
        <is>
          <t>休</t>
        </is>
      </c>
      <c r="AB41" s="6" t="inlineStr">
        <is>
          <t>休</t>
        </is>
      </c>
      <c r="AC41" s="10" t="inlineStr">
        <is>
          <t>晚一</t>
        </is>
      </c>
      <c r="AD41" s="13" t="inlineStr">
        <is>
          <t>晚二</t>
        </is>
      </c>
      <c r="AE41" s="10" t="inlineStr">
        <is>
          <t>晚一</t>
        </is>
      </c>
      <c r="AF41" s="6" t="inlineStr">
        <is>
          <t>休</t>
        </is>
      </c>
      <c r="AG41" s="6" t="inlineStr">
        <is>
          <t>休</t>
        </is>
      </c>
      <c r="AH41" s="12" t="inlineStr">
        <is>
          <t>早三</t>
        </is>
      </c>
      <c r="AI41" s="4">
        <f>COUNTIF(D41:AH41,"休")+COUNTIF(D41:AH41,"请假")</f>
        <v/>
      </c>
      <c r="AJ41" s="4">
        <f>COUNTIF(E41:AH41,"行政班")</f>
        <v/>
      </c>
      <c r="AK41" s="4">
        <f>COUNTIF(E41:AH41,"白班
(机动)")</f>
        <v/>
      </c>
      <c r="AL41" s="4">
        <f>COUNTIF(E41:AH41,"晚二")</f>
        <v/>
      </c>
      <c r="AM41" s="4">
        <f>COUNTIF(D41:AH41,"早早班
(IM)")</f>
        <v/>
      </c>
      <c r="AN41" s="4">
        <f>COUNTIF(D41:AH41,"早班")</f>
        <v/>
      </c>
      <c r="AO41" s="4">
        <f>COUNTIF(D41:AH41,"早三")</f>
        <v/>
      </c>
      <c r="AP41" s="4">
        <f>COUNTIF(D41:AH41,"白班")</f>
        <v/>
      </c>
      <c r="AQ41" s="4">
        <f>COUNTIF(D41:AH41,"中三")</f>
        <v/>
      </c>
      <c r="AR41" s="4">
        <f>COUNTIF(D41:AH41,"中四")</f>
        <v/>
      </c>
      <c r="AS41" s="4">
        <f>COUNTIF(D41:AH41,"晚一")+COUNTIF(D41:AH41,"晚一
(IM)")</f>
        <v/>
      </c>
      <c r="AT41" s="4">
        <f>COUNTIF(D41:AH41,"晚二")</f>
        <v/>
      </c>
      <c r="AU41" s="4">
        <f>COUNTIF(D41:AH41,"大夜")</f>
        <v/>
      </c>
    </row>
    <row r="42" ht="33" customHeight="1">
      <c r="A42" s="4" t="inlineStr">
        <is>
          <t xml:space="preserve"> 邹秋霞</t>
        </is>
      </c>
      <c r="B42" s="4" t="inlineStr">
        <is>
          <t>32007</t>
        </is>
      </c>
      <c r="C42" s="4" t="inlineStr">
        <is>
          <t>在线</t>
        </is>
      </c>
      <c r="D42" s="11" t="inlineStr">
        <is>
          <t>早班</t>
        </is>
      </c>
      <c r="E42" s="6" t="inlineStr">
        <is>
          <t>休</t>
        </is>
      </c>
      <c r="F42" s="9" t="inlineStr">
        <is>
          <t>白班
(机动)</t>
        </is>
      </c>
      <c r="G42" s="12" t="inlineStr">
        <is>
          <t>早三</t>
        </is>
      </c>
      <c r="H42" s="16" t="inlineStr">
        <is>
          <t>白班</t>
        </is>
      </c>
      <c r="I42" s="13" t="inlineStr">
        <is>
          <t>晚二</t>
        </is>
      </c>
      <c r="J42" s="6" t="inlineStr">
        <is>
          <t>休</t>
        </is>
      </c>
      <c r="K42" s="6" t="inlineStr">
        <is>
          <t>休</t>
        </is>
      </c>
      <c r="L42" s="15" t="inlineStr">
        <is>
          <t>中四</t>
        </is>
      </c>
      <c r="M42" s="10" t="inlineStr">
        <is>
          <t>晚一</t>
        </is>
      </c>
      <c r="N42" s="14" t="inlineStr">
        <is>
          <t>中三</t>
        </is>
      </c>
      <c r="O42" s="10" t="inlineStr">
        <is>
          <t>晚一</t>
        </is>
      </c>
      <c r="P42" s="14" t="inlineStr">
        <is>
          <t>中三</t>
        </is>
      </c>
      <c r="Q42" s="6" t="inlineStr">
        <is>
          <t>休</t>
        </is>
      </c>
      <c r="R42" s="7" t="inlineStr">
        <is>
          <t>行政班</t>
        </is>
      </c>
      <c r="S42" s="7" t="inlineStr">
        <is>
          <t>行政班</t>
        </is>
      </c>
      <c r="T42" s="16" t="inlineStr">
        <is>
          <t>白班</t>
        </is>
      </c>
      <c r="U42" s="6" t="inlineStr">
        <is>
          <t>休</t>
        </is>
      </c>
      <c r="V42" s="16" t="inlineStr">
        <is>
          <t>白班</t>
        </is>
      </c>
      <c r="W42" s="12" t="inlineStr">
        <is>
          <t>早三</t>
        </is>
      </c>
      <c r="X42" s="6" t="inlineStr">
        <is>
          <t>休</t>
        </is>
      </c>
      <c r="Y42" s="13" t="inlineStr">
        <is>
          <t>晚二</t>
        </is>
      </c>
      <c r="Z42" s="14" t="inlineStr">
        <is>
          <t>中三</t>
        </is>
      </c>
      <c r="AA42" s="6" t="inlineStr">
        <is>
          <t>休</t>
        </is>
      </c>
      <c r="AB42" s="6" t="inlineStr">
        <is>
          <t>休</t>
        </is>
      </c>
      <c r="AC42" s="11" t="inlineStr">
        <is>
          <t>早班</t>
        </is>
      </c>
      <c r="AD42" s="11" t="inlineStr">
        <is>
          <t>早班</t>
        </is>
      </c>
      <c r="AE42" s="6" t="inlineStr">
        <is>
          <t>休</t>
        </is>
      </c>
      <c r="AF42" s="6" t="inlineStr">
        <is>
          <t>休</t>
        </is>
      </c>
      <c r="AG42" s="10" t="inlineStr">
        <is>
          <t>晚一</t>
        </is>
      </c>
      <c r="AH42" s="10" t="inlineStr">
        <is>
          <t>晚一</t>
        </is>
      </c>
      <c r="AI42" s="4">
        <f>COUNTIF(D42:AH42,"休")+COUNTIF(D42:AH42,"请假")</f>
        <v/>
      </c>
      <c r="AJ42" s="4">
        <f>COUNTIF(E42:AH42,"行政班")</f>
        <v/>
      </c>
      <c r="AK42" s="4">
        <f>COUNTIF(E42:AH42,"白班
(机动)")</f>
        <v/>
      </c>
      <c r="AL42" s="4">
        <f>COUNTIF(E42:AH42,"晚二")</f>
        <v/>
      </c>
      <c r="AM42" s="4">
        <f>COUNTIF(D42:AH42,"早早班
(IM)")</f>
        <v/>
      </c>
      <c r="AN42" s="4">
        <f>COUNTIF(D42:AH42,"早班")</f>
        <v/>
      </c>
      <c r="AO42" s="4">
        <f>COUNTIF(D42:AH42,"早三")</f>
        <v/>
      </c>
      <c r="AP42" s="4">
        <f>COUNTIF(D42:AH42,"白班")</f>
        <v/>
      </c>
      <c r="AQ42" s="4">
        <f>COUNTIF(D42:AH42,"中三")</f>
        <v/>
      </c>
      <c r="AR42" s="4">
        <f>COUNTIF(D42:AH42,"中四")</f>
        <v/>
      </c>
      <c r="AS42" s="4">
        <f>COUNTIF(D42:AH42,"晚一")+COUNTIF(D42:AH42,"晚一
(IM)")</f>
        <v/>
      </c>
      <c r="AT42" s="4">
        <f>COUNTIF(D42:AH42,"晚二")</f>
        <v/>
      </c>
      <c r="AU42" s="4">
        <f>COUNTIF(D42:AH42,"大夜")</f>
        <v/>
      </c>
    </row>
    <row r="45" ht="33" customHeight="1">
      <c r="C45" s="4" t="inlineStr">
        <is>
          <t>早班</t>
        </is>
      </c>
      <c r="D45" s="4">
        <f>COUNTIF(D6:D42,"早班")</f>
        <v/>
      </c>
      <c r="E45" s="4">
        <f>COUNTIF(E6:E42,"早班")</f>
        <v/>
      </c>
      <c r="F45" s="4">
        <f>COUNTIF(F6:F42,"早班")</f>
        <v/>
      </c>
      <c r="G45" s="4">
        <f>COUNTIF(G6:G42,"早班")</f>
        <v/>
      </c>
      <c r="H45" s="4">
        <f>COUNTIF(H6:H42,"早班")</f>
        <v/>
      </c>
      <c r="I45" s="4">
        <f>COUNTIF(I6:I42,"早班")</f>
        <v/>
      </c>
      <c r="J45" s="4">
        <f>COUNTIF(J6:J42,"早班")</f>
        <v/>
      </c>
      <c r="K45" s="4">
        <f>COUNTIF(K6:K42,"早班")</f>
        <v/>
      </c>
      <c r="L45" s="4">
        <f>COUNTIF(L6:L42,"早班")</f>
        <v/>
      </c>
      <c r="M45" s="4">
        <f>COUNTIF(M6:M42,"早班")</f>
        <v/>
      </c>
      <c r="N45" s="4">
        <f>COUNTIF(N6:N42,"早班")</f>
        <v/>
      </c>
      <c r="O45" s="4">
        <f>COUNTIF(O6:O42,"早班")</f>
        <v/>
      </c>
      <c r="P45" s="4">
        <f>COUNTIF(P6:P42,"早班")</f>
        <v/>
      </c>
      <c r="Q45" s="4">
        <f>COUNTIF(Q6:Q42,"早班")</f>
        <v/>
      </c>
      <c r="R45" s="4">
        <f>COUNTIF(R6:R42,"早班")</f>
        <v/>
      </c>
      <c r="S45" s="4">
        <f>COUNTIF(S6:S42,"早班")</f>
        <v/>
      </c>
      <c r="T45" s="4">
        <f>COUNTIF(T6:T42,"早班")</f>
        <v/>
      </c>
      <c r="U45" s="4">
        <f>COUNTIF(U6:U42,"早班")</f>
        <v/>
      </c>
      <c r="V45" s="4">
        <f>COUNTIF(V6:V42,"早班")</f>
        <v/>
      </c>
      <c r="W45" s="4">
        <f>COUNTIF(W6:W42,"早班")</f>
        <v/>
      </c>
      <c r="X45" s="4">
        <f>COUNTIF(X6:X42,"早班")</f>
        <v/>
      </c>
      <c r="Y45" s="4">
        <f>COUNTIF(Y6:Y42,"早班")</f>
        <v/>
      </c>
      <c r="Z45" s="4">
        <f>COUNTIF(Z6:Z42,"早班")</f>
        <v/>
      </c>
      <c r="AA45" s="4">
        <f>COUNTIF(AA6:AA42,"早班")</f>
        <v/>
      </c>
      <c r="AB45" s="4">
        <f>COUNTIF(AB6:AB42,"早班")</f>
        <v/>
      </c>
      <c r="AC45" s="4">
        <f>COUNTIF(AC6:AC42,"早班")</f>
        <v/>
      </c>
      <c r="AD45" s="4">
        <f>COUNTIF(AD6:AD42,"早班")</f>
        <v/>
      </c>
      <c r="AE45" s="4">
        <f>COUNTIF(AE6:AE42,"早班")</f>
        <v/>
      </c>
      <c r="AF45" s="4">
        <f>COUNTIF(AF6:AF42,"早班")</f>
        <v/>
      </c>
      <c r="AG45" s="4">
        <f>COUNTIF(AG6:AG42,"早班")</f>
        <v/>
      </c>
      <c r="AH45" s="4">
        <f>COUNTIF(AH6:AH42,"早班")</f>
        <v/>
      </c>
    </row>
    <row r="46" ht="33" customHeight="1">
      <c r="C46" s="4" t="inlineStr">
        <is>
          <t>早三</t>
        </is>
      </c>
      <c r="D46" s="4">
        <f>COUNTIF(D6:D42,"早三")</f>
        <v/>
      </c>
      <c r="E46" s="4">
        <f>COUNTIF(E6:E42,"早三")</f>
        <v/>
      </c>
      <c r="F46" s="4">
        <f>COUNTIF(F6:F42,"早三")</f>
        <v/>
      </c>
      <c r="G46" s="4">
        <f>COUNTIF(G6:G42,"早三")</f>
        <v/>
      </c>
      <c r="H46" s="4">
        <f>COUNTIF(H6:H42,"早三")</f>
        <v/>
      </c>
      <c r="I46" s="4">
        <f>COUNTIF(I6:I42,"早三")</f>
        <v/>
      </c>
      <c r="J46" s="4">
        <f>COUNTIF(J6:J42,"早三")</f>
        <v/>
      </c>
      <c r="K46" s="4">
        <f>COUNTIF(K6:K42,"早三")</f>
        <v/>
      </c>
      <c r="L46" s="4">
        <f>COUNTIF(L6:L42,"早三")</f>
        <v/>
      </c>
      <c r="M46" s="4">
        <f>COUNTIF(M6:M42,"早三")</f>
        <v/>
      </c>
      <c r="N46" s="4">
        <f>COUNTIF(N6:N42,"早三")</f>
        <v/>
      </c>
      <c r="O46" s="4">
        <f>COUNTIF(O6:O42,"早三")</f>
        <v/>
      </c>
      <c r="P46" s="4">
        <f>COUNTIF(P6:P42,"早三")</f>
        <v/>
      </c>
      <c r="Q46" s="4">
        <f>COUNTIF(Q6:Q42,"早三")</f>
        <v/>
      </c>
      <c r="R46" s="4">
        <f>COUNTIF(R6:R42,"早三")</f>
        <v/>
      </c>
      <c r="S46" s="4">
        <f>COUNTIF(S6:S42,"早三")</f>
        <v/>
      </c>
      <c r="T46" s="4">
        <f>COUNTIF(T6:T42,"早三")</f>
        <v/>
      </c>
      <c r="U46" s="4">
        <f>COUNTIF(U6:U42,"早三")</f>
        <v/>
      </c>
      <c r="V46" s="4">
        <f>COUNTIF(V6:V42,"早三")</f>
        <v/>
      </c>
      <c r="W46" s="4">
        <f>COUNTIF(W6:W42,"早三")</f>
        <v/>
      </c>
      <c r="X46" s="4">
        <f>COUNTIF(X6:X42,"早三")</f>
        <v/>
      </c>
      <c r="Y46" s="4">
        <f>COUNTIF(Y6:Y42,"早三")</f>
        <v/>
      </c>
      <c r="Z46" s="4">
        <f>COUNTIF(Z6:Z42,"早三")</f>
        <v/>
      </c>
      <c r="AA46" s="4">
        <f>COUNTIF(AA6:AA42,"早三")</f>
        <v/>
      </c>
      <c r="AB46" s="4">
        <f>COUNTIF(AB6:AB42,"早三")</f>
        <v/>
      </c>
      <c r="AC46" s="4">
        <f>COUNTIF(AC6:AC42,"早三")</f>
        <v/>
      </c>
      <c r="AD46" s="4">
        <f>COUNTIF(AD6:AD42,"早三")</f>
        <v/>
      </c>
      <c r="AE46" s="4">
        <f>COUNTIF(AE6:AE42,"早三")</f>
        <v/>
      </c>
      <c r="AF46" s="4">
        <f>COUNTIF(AF6:AF42,"早三")</f>
        <v/>
      </c>
      <c r="AG46" s="4">
        <f>COUNTIF(AG6:AG42,"早三")</f>
        <v/>
      </c>
      <c r="AH46" s="4">
        <f>COUNTIF(AH6:AH42,"早三")</f>
        <v/>
      </c>
    </row>
    <row r="47" ht="33" customHeight="1">
      <c r="C47" s="4" t="inlineStr">
        <is>
          <t>行政班</t>
        </is>
      </c>
      <c r="D47" s="4">
        <f>COUNTIF(D6:D42,"行政班")</f>
        <v/>
      </c>
      <c r="E47" s="4">
        <f>COUNTIF(E6:E42,"行政班")</f>
        <v/>
      </c>
      <c r="F47" s="4">
        <f>COUNTIF(F6:F42,"行政班")</f>
        <v/>
      </c>
      <c r="G47" s="4">
        <f>COUNTIF(G6:G42,"行政班")</f>
        <v/>
      </c>
      <c r="H47" s="4">
        <f>COUNTIF(H6:H42,"行政班")</f>
        <v/>
      </c>
      <c r="I47" s="4">
        <f>COUNTIF(I6:I42,"行政班")</f>
        <v/>
      </c>
      <c r="J47" s="4">
        <f>COUNTIF(J6:J42,"行政班")</f>
        <v/>
      </c>
      <c r="K47" s="4">
        <f>COUNTIF(K6:K42,"行政班")</f>
        <v/>
      </c>
      <c r="L47" s="4">
        <f>COUNTIF(L6:L42,"行政班")</f>
        <v/>
      </c>
      <c r="M47" s="4">
        <f>COUNTIF(M6:M42,"行政班")</f>
        <v/>
      </c>
      <c r="N47" s="4">
        <f>COUNTIF(N6:N42,"行政班")</f>
        <v/>
      </c>
      <c r="O47" s="4">
        <f>COUNTIF(O6:O42,"行政班")</f>
        <v/>
      </c>
      <c r="P47" s="4">
        <f>COUNTIF(P6:P42,"行政班")</f>
        <v/>
      </c>
      <c r="Q47" s="4">
        <f>COUNTIF(Q6:Q42,"行政班")</f>
        <v/>
      </c>
      <c r="R47" s="4">
        <f>COUNTIF(R6:R42,"行政班")</f>
        <v/>
      </c>
      <c r="S47" s="4">
        <f>COUNTIF(S6:S42,"行政班")</f>
        <v/>
      </c>
      <c r="T47" s="4">
        <f>COUNTIF(T6:T42,"行政班")</f>
        <v/>
      </c>
      <c r="U47" s="4">
        <f>COUNTIF(U6:U42,"行政班")</f>
        <v/>
      </c>
      <c r="V47" s="4">
        <f>COUNTIF(V6:V42,"行政班")</f>
        <v/>
      </c>
      <c r="W47" s="4">
        <f>COUNTIF(W6:W42,"行政班")</f>
        <v/>
      </c>
      <c r="X47" s="4">
        <f>COUNTIF(X6:X42,"行政班")</f>
        <v/>
      </c>
      <c r="Y47" s="4">
        <f>COUNTIF(Y6:Y42,"行政班")</f>
        <v/>
      </c>
      <c r="Z47" s="4">
        <f>COUNTIF(Z6:Z42,"行政班")</f>
        <v/>
      </c>
      <c r="AA47" s="4">
        <f>COUNTIF(AA6:AA42,"行政班")</f>
        <v/>
      </c>
      <c r="AB47" s="4">
        <f>COUNTIF(AB6:AB42,"行政班")</f>
        <v/>
      </c>
      <c r="AC47" s="4">
        <f>COUNTIF(AC6:AC42,"行政班")</f>
        <v/>
      </c>
      <c r="AD47" s="4">
        <f>COUNTIF(AD6:AD42,"行政班")</f>
        <v/>
      </c>
      <c r="AE47" s="4">
        <f>COUNTIF(AE6:AE42,"行政班")</f>
        <v/>
      </c>
      <c r="AF47" s="4">
        <f>COUNTIF(AF6:AF42,"行政班")</f>
        <v/>
      </c>
      <c r="AG47" s="4">
        <f>COUNTIF(AG6:AG42,"行政班")</f>
        <v/>
      </c>
      <c r="AH47" s="4">
        <f>COUNTIF(AH6:AH42,"行政班")</f>
        <v/>
      </c>
    </row>
    <row r="48" ht="33" customHeight="1">
      <c r="C48" s="4" t="inlineStr">
        <is>
          <t>白班</t>
        </is>
      </c>
      <c r="D48" s="4">
        <f>COUNTIF(D6:D42,"白班")</f>
        <v/>
      </c>
      <c r="E48" s="4">
        <f>COUNTIF(E6:E42,"白班")</f>
        <v/>
      </c>
      <c r="F48" s="4">
        <f>COUNTIF(F6:F42,"白班")</f>
        <v/>
      </c>
      <c r="G48" s="4">
        <f>COUNTIF(G6:G42,"白班")</f>
        <v/>
      </c>
      <c r="H48" s="4">
        <f>COUNTIF(H6:H42,"白班")</f>
        <v/>
      </c>
      <c r="I48" s="4">
        <f>COUNTIF(I6:I42,"白班")</f>
        <v/>
      </c>
      <c r="J48" s="4">
        <f>COUNTIF(J6:J42,"白班")</f>
        <v/>
      </c>
      <c r="K48" s="4">
        <f>COUNTIF(K6:K42,"白班")</f>
        <v/>
      </c>
      <c r="L48" s="4">
        <f>COUNTIF(L6:L42,"白班")</f>
        <v/>
      </c>
      <c r="M48" s="4">
        <f>COUNTIF(M6:M42,"白班")</f>
        <v/>
      </c>
      <c r="N48" s="4">
        <f>COUNTIF(N6:N42,"白班")</f>
        <v/>
      </c>
      <c r="O48" s="4">
        <f>COUNTIF(O6:O42,"白班")</f>
        <v/>
      </c>
      <c r="P48" s="4">
        <f>COUNTIF(P6:P42,"白班")</f>
        <v/>
      </c>
      <c r="Q48" s="4">
        <f>COUNTIF(Q6:Q42,"白班")</f>
        <v/>
      </c>
      <c r="R48" s="4">
        <f>COUNTIF(R6:R42,"白班")</f>
        <v/>
      </c>
      <c r="S48" s="4">
        <f>COUNTIF(S6:S42,"白班")</f>
        <v/>
      </c>
      <c r="T48" s="4">
        <f>COUNTIF(T6:T42,"白班")</f>
        <v/>
      </c>
      <c r="U48" s="4">
        <f>COUNTIF(U6:U42,"白班")</f>
        <v/>
      </c>
      <c r="V48" s="4">
        <f>COUNTIF(V6:V42,"白班")</f>
        <v/>
      </c>
      <c r="W48" s="4">
        <f>COUNTIF(W6:W42,"白班")</f>
        <v/>
      </c>
      <c r="X48" s="4">
        <f>COUNTIF(X6:X42,"白班")</f>
        <v/>
      </c>
      <c r="Y48" s="4">
        <f>COUNTIF(Y6:Y42,"白班")</f>
        <v/>
      </c>
      <c r="Z48" s="4">
        <f>COUNTIF(Z6:Z42,"白班")</f>
        <v/>
      </c>
      <c r="AA48" s="4">
        <f>COUNTIF(AA6:AA42,"白班")</f>
        <v/>
      </c>
      <c r="AB48" s="4">
        <f>COUNTIF(AB6:AB42,"白班")</f>
        <v/>
      </c>
      <c r="AC48" s="4">
        <f>COUNTIF(AC6:AC42,"白班")</f>
        <v/>
      </c>
      <c r="AD48" s="4">
        <f>COUNTIF(AD6:AD42,"白班")</f>
        <v/>
      </c>
      <c r="AE48" s="4">
        <f>COUNTIF(AE6:AE42,"白班")</f>
        <v/>
      </c>
      <c r="AF48" s="4">
        <f>COUNTIF(AF6:AF42,"白班")</f>
        <v/>
      </c>
      <c r="AG48" s="4">
        <f>COUNTIF(AG6:AG42,"白班")</f>
        <v/>
      </c>
      <c r="AH48" s="4">
        <f>COUNTIF(AH6:AH42,"白班")</f>
        <v/>
      </c>
    </row>
    <row r="49" ht="33" customHeight="1">
      <c r="C49" s="4" t="inlineStr">
        <is>
          <t>中三</t>
        </is>
      </c>
      <c r="D49" s="4">
        <f>COUNTIF(D6:D42,"中三")</f>
        <v/>
      </c>
      <c r="E49" s="4">
        <f>COUNTIF(E6:E42,"中三")</f>
        <v/>
      </c>
      <c r="F49" s="4">
        <f>COUNTIF(F6:F42,"中三")</f>
        <v/>
      </c>
      <c r="G49" s="4">
        <f>COUNTIF(G6:G42,"中三")</f>
        <v/>
      </c>
      <c r="H49" s="4">
        <f>COUNTIF(H6:H42,"中三")</f>
        <v/>
      </c>
      <c r="I49" s="4">
        <f>COUNTIF(I6:I42,"中三")</f>
        <v/>
      </c>
      <c r="J49" s="4">
        <f>COUNTIF(J6:J42,"中三")</f>
        <v/>
      </c>
      <c r="K49" s="4">
        <f>COUNTIF(K6:K42,"中三")</f>
        <v/>
      </c>
      <c r="L49" s="4">
        <f>COUNTIF(L6:L42,"中三")</f>
        <v/>
      </c>
      <c r="M49" s="4">
        <f>COUNTIF(M6:M42,"中三")</f>
        <v/>
      </c>
      <c r="N49" s="4">
        <f>COUNTIF(N6:N42,"中三")</f>
        <v/>
      </c>
      <c r="O49" s="4">
        <f>COUNTIF(O6:O42,"中三")</f>
        <v/>
      </c>
      <c r="P49" s="4">
        <f>COUNTIF(P6:P42,"中三")</f>
        <v/>
      </c>
      <c r="Q49" s="4">
        <f>COUNTIF(Q6:Q42,"中三")</f>
        <v/>
      </c>
      <c r="R49" s="4">
        <f>COUNTIF(R6:R42,"中三")</f>
        <v/>
      </c>
      <c r="S49" s="4">
        <f>COUNTIF(S6:S42,"中三")</f>
        <v/>
      </c>
      <c r="T49" s="4">
        <f>COUNTIF(T6:T42,"中三")</f>
        <v/>
      </c>
      <c r="U49" s="4">
        <f>COUNTIF(U6:U42,"中三")</f>
        <v/>
      </c>
      <c r="V49" s="4">
        <f>COUNTIF(V6:V42,"中三")</f>
        <v/>
      </c>
      <c r="W49" s="4">
        <f>COUNTIF(W6:W42,"中三")</f>
        <v/>
      </c>
      <c r="X49" s="4">
        <f>COUNTIF(X6:X42,"中三")</f>
        <v/>
      </c>
      <c r="Y49" s="4">
        <f>COUNTIF(Y6:Y42,"中三")</f>
        <v/>
      </c>
      <c r="Z49" s="4">
        <f>COUNTIF(Z6:Z42,"中三")</f>
        <v/>
      </c>
      <c r="AA49" s="4">
        <f>COUNTIF(AA6:AA42,"中三")</f>
        <v/>
      </c>
      <c r="AB49" s="4">
        <f>COUNTIF(AB6:AB42,"中三")</f>
        <v/>
      </c>
      <c r="AC49" s="4">
        <f>COUNTIF(AC6:AC42,"中三")</f>
        <v/>
      </c>
      <c r="AD49" s="4">
        <f>COUNTIF(AD6:AD42,"中三")</f>
        <v/>
      </c>
      <c r="AE49" s="4">
        <f>COUNTIF(AE6:AE42,"中三")</f>
        <v/>
      </c>
      <c r="AF49" s="4">
        <f>COUNTIF(AF6:AF42,"中三")</f>
        <v/>
      </c>
      <c r="AG49" s="4">
        <f>COUNTIF(AG6:AG42,"中三")</f>
        <v/>
      </c>
      <c r="AH49" s="4">
        <f>COUNTIF(AH6:AH42,"中三")</f>
        <v/>
      </c>
    </row>
    <row r="50" ht="33" customHeight="1">
      <c r="C50" s="4" t="inlineStr">
        <is>
          <t>中四</t>
        </is>
      </c>
      <c r="D50" s="4">
        <f>COUNTIF(D6:D42,"中四")</f>
        <v/>
      </c>
      <c r="E50" s="4">
        <f>COUNTIF(E6:E42,"中四")</f>
        <v/>
      </c>
      <c r="F50" s="4">
        <f>COUNTIF(F6:F42,"中四")</f>
        <v/>
      </c>
      <c r="G50" s="4">
        <f>COUNTIF(G6:G42,"中四")</f>
        <v/>
      </c>
      <c r="H50" s="4">
        <f>COUNTIF(H6:H42,"中四")</f>
        <v/>
      </c>
      <c r="I50" s="4">
        <f>COUNTIF(I6:I42,"中四")</f>
        <v/>
      </c>
      <c r="J50" s="4">
        <f>COUNTIF(J6:J42,"中四")</f>
        <v/>
      </c>
      <c r="K50" s="4">
        <f>COUNTIF(K6:K42,"中四")</f>
        <v/>
      </c>
      <c r="L50" s="4">
        <f>COUNTIF(L6:L42,"中四")</f>
        <v/>
      </c>
      <c r="M50" s="4">
        <f>COUNTIF(M6:M42,"中四")</f>
        <v/>
      </c>
      <c r="N50" s="4">
        <f>COUNTIF(N6:N42,"中四")</f>
        <v/>
      </c>
      <c r="O50" s="4">
        <f>COUNTIF(O6:O42,"中四")</f>
        <v/>
      </c>
      <c r="P50" s="4">
        <f>COUNTIF(P6:P42,"中四")</f>
        <v/>
      </c>
      <c r="Q50" s="4">
        <f>COUNTIF(Q6:Q42,"中四")</f>
        <v/>
      </c>
      <c r="R50" s="4">
        <f>COUNTIF(R6:R42,"中四")</f>
        <v/>
      </c>
      <c r="S50" s="4">
        <f>COUNTIF(S6:S42,"中四")</f>
        <v/>
      </c>
      <c r="T50" s="4">
        <f>COUNTIF(T6:T42,"中四")</f>
        <v/>
      </c>
      <c r="U50" s="4">
        <f>COUNTIF(U6:U42,"中四")</f>
        <v/>
      </c>
      <c r="V50" s="4">
        <f>COUNTIF(V6:V42,"中四")</f>
        <v/>
      </c>
      <c r="W50" s="4">
        <f>COUNTIF(W6:W42,"中四")</f>
        <v/>
      </c>
      <c r="X50" s="4">
        <f>COUNTIF(X6:X42,"中四")</f>
        <v/>
      </c>
      <c r="Y50" s="4">
        <f>COUNTIF(Y6:Y42,"中四")</f>
        <v/>
      </c>
      <c r="Z50" s="4">
        <f>COUNTIF(Z6:Z42,"中四")</f>
        <v/>
      </c>
      <c r="AA50" s="4">
        <f>COUNTIF(AA6:AA42,"中四")</f>
        <v/>
      </c>
      <c r="AB50" s="4">
        <f>COUNTIF(AB6:AB42,"中四")</f>
        <v/>
      </c>
      <c r="AC50" s="4">
        <f>COUNTIF(AC6:AC42,"中四")</f>
        <v/>
      </c>
      <c r="AD50" s="4">
        <f>COUNTIF(AD6:AD42,"中四")</f>
        <v/>
      </c>
      <c r="AE50" s="4">
        <f>COUNTIF(AE6:AE42,"中四")</f>
        <v/>
      </c>
      <c r="AF50" s="4">
        <f>COUNTIF(AF6:AF42,"中四")</f>
        <v/>
      </c>
      <c r="AG50" s="4">
        <f>COUNTIF(AG6:AG42,"中四")</f>
        <v/>
      </c>
      <c r="AH50" s="4">
        <f>COUNTIF(AH6:AH42,"中四")</f>
        <v/>
      </c>
    </row>
    <row r="51" ht="33" customHeight="1">
      <c r="C51" s="4" t="inlineStr">
        <is>
          <t>晚一</t>
        </is>
      </c>
      <c r="D51" s="4">
        <f>COUNTIF(D6:D42,"晚一")</f>
        <v/>
      </c>
      <c r="E51" s="4">
        <f>COUNTIF(E6:E42,"晚一")</f>
        <v/>
      </c>
      <c r="F51" s="4">
        <f>COUNTIF(F6:F42,"晚一")</f>
        <v/>
      </c>
      <c r="G51" s="4">
        <f>COUNTIF(G6:G42,"晚一")</f>
        <v/>
      </c>
      <c r="H51" s="4">
        <f>COUNTIF(H6:H42,"晚一")</f>
        <v/>
      </c>
      <c r="I51" s="4">
        <f>COUNTIF(I6:I42,"晚一")</f>
        <v/>
      </c>
      <c r="J51" s="4">
        <f>COUNTIF(J6:J42,"晚一")</f>
        <v/>
      </c>
      <c r="K51" s="4">
        <f>COUNTIF(K6:K42,"晚一")</f>
        <v/>
      </c>
      <c r="L51" s="4">
        <f>COUNTIF(L6:L42,"晚一")</f>
        <v/>
      </c>
      <c r="M51" s="4">
        <f>COUNTIF(M6:M42,"晚一")</f>
        <v/>
      </c>
      <c r="N51" s="4">
        <f>COUNTIF(N6:N42,"晚一")</f>
        <v/>
      </c>
      <c r="O51" s="4">
        <f>COUNTIF(O6:O42,"晚一")</f>
        <v/>
      </c>
      <c r="P51" s="4">
        <f>COUNTIF(P6:P42,"晚一")</f>
        <v/>
      </c>
      <c r="Q51" s="4">
        <f>COUNTIF(Q6:Q42,"晚一")</f>
        <v/>
      </c>
      <c r="R51" s="4">
        <f>COUNTIF(R6:R42,"晚一")</f>
        <v/>
      </c>
      <c r="S51" s="4">
        <f>COUNTIF(S6:S42,"晚一")</f>
        <v/>
      </c>
      <c r="T51" s="4">
        <f>COUNTIF(T6:T42,"晚一")</f>
        <v/>
      </c>
      <c r="U51" s="4">
        <f>COUNTIF(U6:U42,"晚一")</f>
        <v/>
      </c>
      <c r="V51" s="4">
        <f>COUNTIF(V6:V42,"晚一")</f>
        <v/>
      </c>
      <c r="W51" s="4">
        <f>COUNTIF(W6:W42,"晚一")</f>
        <v/>
      </c>
      <c r="X51" s="4">
        <f>COUNTIF(X6:X42,"晚一")</f>
        <v/>
      </c>
      <c r="Y51" s="4">
        <f>COUNTIF(Y6:Y42,"晚一")</f>
        <v/>
      </c>
      <c r="Z51" s="4">
        <f>COUNTIF(Z6:Z42,"晚一")</f>
        <v/>
      </c>
      <c r="AA51" s="4">
        <f>COUNTIF(AA6:AA42,"晚一")</f>
        <v/>
      </c>
      <c r="AB51" s="4">
        <f>COUNTIF(AB6:AB42,"晚一")</f>
        <v/>
      </c>
      <c r="AC51" s="4">
        <f>COUNTIF(AC6:AC42,"晚一")</f>
        <v/>
      </c>
      <c r="AD51" s="4">
        <f>COUNTIF(AD6:AD42,"晚一")</f>
        <v/>
      </c>
      <c r="AE51" s="4">
        <f>COUNTIF(AE6:AE42,"晚一")</f>
        <v/>
      </c>
      <c r="AF51" s="4">
        <f>COUNTIF(AF6:AF42,"晚一")</f>
        <v/>
      </c>
      <c r="AG51" s="4">
        <f>COUNTIF(AG6:AG42,"晚一")</f>
        <v/>
      </c>
      <c r="AH51" s="4">
        <f>COUNTIF(AH6:AH42,"晚一")</f>
        <v/>
      </c>
    </row>
    <row r="52" ht="33" customHeight="1">
      <c r="C52" s="4" t="inlineStr">
        <is>
          <t>晚二</t>
        </is>
      </c>
      <c r="D52" s="4">
        <f>COUNTIF(D6:D42,"晚二")</f>
        <v/>
      </c>
      <c r="E52" s="4">
        <f>COUNTIF(E6:E42,"晚二")</f>
        <v/>
      </c>
      <c r="F52" s="4">
        <f>COUNTIF(F6:F42,"晚二")</f>
        <v/>
      </c>
      <c r="G52" s="4">
        <f>COUNTIF(G6:G42,"晚二")</f>
        <v/>
      </c>
      <c r="H52" s="4">
        <f>COUNTIF(H6:H42,"晚二")</f>
        <v/>
      </c>
      <c r="I52" s="4">
        <f>COUNTIF(I6:I42,"晚二")</f>
        <v/>
      </c>
      <c r="J52" s="4">
        <f>COUNTIF(J6:J42,"晚二")</f>
        <v/>
      </c>
      <c r="K52" s="4">
        <f>COUNTIF(K6:K42,"晚二")</f>
        <v/>
      </c>
      <c r="L52" s="4">
        <f>COUNTIF(L6:L42,"晚二")</f>
        <v/>
      </c>
      <c r="M52" s="4">
        <f>COUNTIF(M6:M42,"晚二")</f>
        <v/>
      </c>
      <c r="N52" s="4">
        <f>COUNTIF(N6:N42,"晚二")</f>
        <v/>
      </c>
      <c r="O52" s="4">
        <f>COUNTIF(O6:O42,"晚二")</f>
        <v/>
      </c>
      <c r="P52" s="4">
        <f>COUNTIF(P6:P42,"晚二")</f>
        <v/>
      </c>
      <c r="Q52" s="4">
        <f>COUNTIF(Q6:Q42,"晚二")</f>
        <v/>
      </c>
      <c r="R52" s="4">
        <f>COUNTIF(R6:R42,"晚二")</f>
        <v/>
      </c>
      <c r="S52" s="4">
        <f>COUNTIF(S6:S42,"晚二")</f>
        <v/>
      </c>
      <c r="T52" s="4">
        <f>COUNTIF(T6:T42,"晚二")</f>
        <v/>
      </c>
      <c r="U52" s="4">
        <f>COUNTIF(U6:U42,"晚二")</f>
        <v/>
      </c>
      <c r="V52" s="4">
        <f>COUNTIF(V6:V42,"晚二")</f>
        <v/>
      </c>
      <c r="W52" s="4">
        <f>COUNTIF(W6:W42,"晚二")</f>
        <v/>
      </c>
      <c r="X52" s="4">
        <f>COUNTIF(X6:X42,"晚二")</f>
        <v/>
      </c>
      <c r="Y52" s="4">
        <f>COUNTIF(Y6:Y42,"晚二")</f>
        <v/>
      </c>
      <c r="Z52" s="4">
        <f>COUNTIF(Z6:Z42,"晚二")</f>
        <v/>
      </c>
      <c r="AA52" s="4">
        <f>COUNTIF(AA6:AA42,"晚二")</f>
        <v/>
      </c>
      <c r="AB52" s="4">
        <f>COUNTIF(AB6:AB42,"晚二")</f>
        <v/>
      </c>
      <c r="AC52" s="4">
        <f>COUNTIF(AC6:AC42,"晚二")</f>
        <v/>
      </c>
      <c r="AD52" s="4">
        <f>COUNTIF(AD6:AD42,"晚二")</f>
        <v/>
      </c>
      <c r="AE52" s="4">
        <f>COUNTIF(AE6:AE42,"晚二")</f>
        <v/>
      </c>
      <c r="AF52" s="4">
        <f>COUNTIF(AF6:AF42,"晚二")</f>
        <v/>
      </c>
      <c r="AG52" s="4">
        <f>COUNTIF(AG6:AG42,"晚二")</f>
        <v/>
      </c>
      <c r="AH52" s="4">
        <f>COUNTIF(AH6:AH42,"晚二")</f>
        <v/>
      </c>
    </row>
    <row r="53" ht="33" customHeight="1">
      <c r="C53" s="4" t="inlineStr">
        <is>
          <t>大夜</t>
        </is>
      </c>
      <c r="D53" s="4">
        <f>COUNTIF(D10:D42,"大夜")</f>
        <v/>
      </c>
      <c r="E53" s="4">
        <f>COUNTIF(E10:E42,"大夜")</f>
        <v/>
      </c>
      <c r="F53" s="4">
        <f>COUNTIF(F10:F42,"大夜")</f>
        <v/>
      </c>
      <c r="G53" s="4">
        <f>COUNTIF(G10:G42,"大夜")</f>
        <v/>
      </c>
      <c r="H53" s="4">
        <f>COUNTIF(H10:H42,"大夜")</f>
        <v/>
      </c>
      <c r="I53" s="4">
        <f>COUNTIF(I10:I42,"大夜")</f>
        <v/>
      </c>
      <c r="J53" s="4">
        <f>COUNTIF(J10:J42,"大夜")</f>
        <v/>
      </c>
      <c r="K53" s="4">
        <f>COUNTIF(K10:K42,"大夜")</f>
        <v/>
      </c>
      <c r="L53" s="4">
        <f>COUNTIF(L10:L42,"大夜")</f>
        <v/>
      </c>
      <c r="M53" s="4">
        <f>COUNTIF(M10:M42,"大夜")</f>
        <v/>
      </c>
      <c r="N53" s="4">
        <f>COUNTIF(N10:N42,"大夜")</f>
        <v/>
      </c>
      <c r="O53" s="4">
        <f>COUNTIF(O10:O42,"大夜")</f>
        <v/>
      </c>
      <c r="P53" s="4">
        <f>COUNTIF(P10:P42,"大夜")</f>
        <v/>
      </c>
      <c r="Q53" s="4">
        <f>COUNTIF(Q10:Q42,"大夜")</f>
        <v/>
      </c>
      <c r="R53" s="4">
        <f>COUNTIF(R10:R42,"大夜")</f>
        <v/>
      </c>
      <c r="S53" s="4">
        <f>COUNTIF(S10:S42,"大夜")</f>
        <v/>
      </c>
      <c r="T53" s="4">
        <f>COUNTIF(T10:T42,"大夜")</f>
        <v/>
      </c>
      <c r="U53" s="4">
        <f>COUNTIF(U10:U42,"大夜")</f>
        <v/>
      </c>
      <c r="V53" s="4">
        <f>COUNTIF(V10:V42,"大夜")</f>
        <v/>
      </c>
      <c r="W53" s="4">
        <f>COUNTIF(W10:W42,"大夜")</f>
        <v/>
      </c>
      <c r="X53" s="4">
        <f>COUNTIF(X10:X42,"大夜")</f>
        <v/>
      </c>
      <c r="Y53" s="4">
        <f>COUNTIF(Y10:Y42,"大夜")</f>
        <v/>
      </c>
      <c r="Z53" s="4">
        <f>COUNTIF(Z10:Z42,"大夜")</f>
        <v/>
      </c>
      <c r="AA53" s="4">
        <f>COUNTIF(AA10:AA42,"大夜")</f>
        <v/>
      </c>
      <c r="AB53" s="4">
        <f>COUNTIF(AB10:AB42,"大夜")</f>
        <v/>
      </c>
      <c r="AC53" s="4">
        <f>COUNTIF(AC10:AC42,"大夜")</f>
        <v/>
      </c>
      <c r="AD53" s="4">
        <f>COUNTIF(AD10:AD42,"大夜")</f>
        <v/>
      </c>
      <c r="AE53" s="4">
        <f>COUNTIF(AE10:AE42,"大夜")</f>
        <v/>
      </c>
      <c r="AF53" s="4">
        <f>COUNTIF(AF10:AF42,"大夜")</f>
        <v/>
      </c>
      <c r="AG53" s="4">
        <f>COUNTIF(AG10:AG42,"大夜")</f>
        <v/>
      </c>
      <c r="AH53" s="4">
        <f>COUNTIF(AH10:AH42,"大夜")</f>
        <v/>
      </c>
    </row>
    <row r="54" ht="33" customHeight="1">
      <c r="C54" s="1" t="inlineStr">
        <is>
          <t>合计</t>
        </is>
      </c>
      <c r="D54" s="1">
        <f>SUM(D45:D52)</f>
        <v/>
      </c>
      <c r="E54" s="1">
        <f>SUM(E45:E52)</f>
        <v/>
      </c>
      <c r="F54" s="1">
        <f>SUM(F45:F52)</f>
        <v/>
      </c>
      <c r="G54" s="1">
        <f>SUM(G45:G52)</f>
        <v/>
      </c>
      <c r="H54" s="1">
        <f>SUM(H45:H52)</f>
        <v/>
      </c>
      <c r="I54" s="1">
        <f>SUM(I45:I52)</f>
        <v/>
      </c>
      <c r="J54" s="1">
        <f>SUM(J45:J52)</f>
        <v/>
      </c>
      <c r="K54" s="1">
        <f>SUM(K45:K52)</f>
        <v/>
      </c>
      <c r="L54" s="1">
        <f>SUM(L45:L52)</f>
        <v/>
      </c>
      <c r="M54" s="1">
        <f>SUM(M45:M52)</f>
        <v/>
      </c>
      <c r="N54" s="1">
        <f>SUM(N45:N52)</f>
        <v/>
      </c>
      <c r="O54" s="1">
        <f>SUM(O45:O52)</f>
        <v/>
      </c>
      <c r="P54" s="1">
        <f>SUM(P45:P52)</f>
        <v/>
      </c>
      <c r="Q54" s="1">
        <f>SUM(Q45:Q52)</f>
        <v/>
      </c>
      <c r="R54" s="1">
        <f>SUM(R45:R52)</f>
        <v/>
      </c>
      <c r="S54" s="1">
        <f>SUM(S45:S52)</f>
        <v/>
      </c>
      <c r="T54" s="1">
        <f>SUM(T45:T52)</f>
        <v/>
      </c>
      <c r="U54" s="1">
        <f>SUM(U45:U52)</f>
        <v/>
      </c>
      <c r="V54" s="1">
        <f>SUM(V45:V52)</f>
        <v/>
      </c>
      <c r="W54" s="1">
        <f>SUM(W45:W52)</f>
        <v/>
      </c>
      <c r="X54" s="1">
        <f>SUM(X45:X52)</f>
        <v/>
      </c>
      <c r="Y54" s="1">
        <f>SUM(Y45:Y52)</f>
        <v/>
      </c>
      <c r="Z54" s="1">
        <f>SUM(Z45:Z52)</f>
        <v/>
      </c>
      <c r="AA54" s="1">
        <f>SUM(AA45:AA52)</f>
        <v/>
      </c>
      <c r="AB54" s="1">
        <f>SUM(AB45:AB52)</f>
        <v/>
      </c>
      <c r="AC54" s="1">
        <f>SUM(AC45:AC52)</f>
        <v/>
      </c>
      <c r="AD54" s="1">
        <f>SUM(AD45:AD52)</f>
        <v/>
      </c>
      <c r="AE54" s="1">
        <f>SUM(AE45:AE52)</f>
        <v/>
      </c>
      <c r="AF54" s="1">
        <f>SUM(AF45:AF52)</f>
        <v/>
      </c>
      <c r="AG54" s="1">
        <f>SUM(AG45:AG52)</f>
        <v/>
      </c>
      <c r="AH54" s="1">
        <f>SUM(AH45:AH52)</f>
        <v/>
      </c>
    </row>
    <row r="56" ht="33" customHeight="1">
      <c r="C56" s="4" t="inlineStr">
        <is>
          <t>早早班
(IM)</t>
        </is>
      </c>
      <c r="D56" s="4">
        <f>COUNTIF(D6:D42,"早早班
(IM)")</f>
        <v/>
      </c>
      <c r="E56" s="4">
        <f>COUNTIF(E6:E42,"早早班
(IM)")</f>
        <v/>
      </c>
      <c r="F56" s="4">
        <f>COUNTIF(F6:F42,"早早班
(IM)")</f>
        <v/>
      </c>
      <c r="G56" s="4">
        <f>COUNTIF(G6:G42,"早早班
(IM)")</f>
        <v/>
      </c>
      <c r="H56" s="4">
        <f>COUNTIF(H6:H42,"早早班
(IM)")</f>
        <v/>
      </c>
      <c r="I56" s="4">
        <f>COUNTIF(I6:I42,"早早班
(IM)")</f>
        <v/>
      </c>
      <c r="J56" s="4">
        <f>COUNTIF(J6:J42,"早早班
(IM)")</f>
        <v/>
      </c>
      <c r="K56" s="4">
        <f>COUNTIF(K6:K42,"早早班
(IM)")</f>
        <v/>
      </c>
      <c r="L56" s="4">
        <f>COUNTIF(L6:L42,"早早班
(IM)")</f>
        <v/>
      </c>
      <c r="M56" s="4">
        <f>COUNTIF(M6:M42,"早早班
(IM)")</f>
        <v/>
      </c>
      <c r="N56" s="4">
        <f>COUNTIF(N6:N42,"早早班
(IM)")</f>
        <v/>
      </c>
      <c r="O56" s="4">
        <f>COUNTIF(O6:O42,"早早班
(IM)")</f>
        <v/>
      </c>
      <c r="P56" s="4">
        <f>COUNTIF(P6:P42,"早早班
(IM)")</f>
        <v/>
      </c>
      <c r="Q56" s="4">
        <f>COUNTIF(Q6:Q42,"早早班
(IM)")</f>
        <v/>
      </c>
      <c r="R56" s="4">
        <f>COUNTIF(R6:R42,"早早班
(IM)")</f>
        <v/>
      </c>
      <c r="S56" s="4">
        <f>COUNTIF(S6:S42,"早早班
(IM)")</f>
        <v/>
      </c>
      <c r="T56" s="4">
        <f>COUNTIF(T6:T42,"早早班
(IM)")</f>
        <v/>
      </c>
      <c r="U56" s="4">
        <f>COUNTIF(U6:U42,"早早班
(IM)")</f>
        <v/>
      </c>
      <c r="V56" s="4">
        <f>COUNTIF(V6:V42,"早早班
(IM)")</f>
        <v/>
      </c>
      <c r="W56" s="4">
        <f>COUNTIF(W6:W42,"早早班
(IM)")</f>
        <v/>
      </c>
      <c r="X56" s="4">
        <f>COUNTIF(X6:X42,"早早班
(IM)")</f>
        <v/>
      </c>
      <c r="Y56" s="4">
        <f>COUNTIF(Y6:Y42,"早早班
(IM)")</f>
        <v/>
      </c>
      <c r="Z56" s="4">
        <f>COUNTIF(Z6:Z42,"早早班
(IM)")</f>
        <v/>
      </c>
      <c r="AA56" s="4">
        <f>COUNTIF(AA6:AA42,"早早班
(IM)")</f>
        <v/>
      </c>
      <c r="AB56" s="4">
        <f>COUNTIF(AB6:AB42,"早早班
(IM)")</f>
        <v/>
      </c>
      <c r="AC56" s="4">
        <f>COUNTIF(AC6:AC42,"早早班
(IM)")</f>
        <v/>
      </c>
      <c r="AD56" s="4">
        <f>COUNTIF(AD6:AD42,"早早班
(IM)")</f>
        <v/>
      </c>
      <c r="AE56" s="4">
        <f>COUNTIF(AE6:AE42,"早早班
(IM)")</f>
        <v/>
      </c>
      <c r="AF56" s="4">
        <f>COUNTIF(AF6:AF42,"早早班
(IM)")</f>
        <v/>
      </c>
      <c r="AG56" s="4">
        <f>COUNTIF(AG6:AG42,"早早班
(IM)")</f>
        <v/>
      </c>
      <c r="AH56" s="4">
        <f>COUNTIF(AH6:AH42,"早早班
(IM)")</f>
        <v/>
      </c>
    </row>
    <row r="57" ht="33" customHeight="1">
      <c r="C57" s="4" t="inlineStr">
        <is>
          <t>晚一
(IM)</t>
        </is>
      </c>
      <c r="D57" s="4">
        <f>COUNTIF(D6:D42,"晚一
(IM)")</f>
        <v/>
      </c>
      <c r="E57" s="4">
        <f>COUNTIF(E6:E42,"晚一
(IM)")</f>
        <v/>
      </c>
      <c r="F57" s="4">
        <f>COUNTIF(F6:F42,"晚一
(IM)")</f>
        <v/>
      </c>
      <c r="G57" s="4">
        <f>COUNTIF(G6:G42,"晚一
(IM)")</f>
        <v/>
      </c>
      <c r="H57" s="4">
        <f>COUNTIF(H6:H42,"晚一
(IM)")</f>
        <v/>
      </c>
      <c r="I57" s="4">
        <f>COUNTIF(I6:I42,"晚一
(IM)")</f>
        <v/>
      </c>
      <c r="J57" s="4">
        <f>COUNTIF(J6:J42,"晚一
(IM)")</f>
        <v/>
      </c>
      <c r="K57" s="4">
        <f>COUNTIF(K6:K42,"晚一
(IM)")</f>
        <v/>
      </c>
      <c r="L57" s="4">
        <f>COUNTIF(L6:L42,"晚一
(IM)")</f>
        <v/>
      </c>
      <c r="M57" s="4">
        <f>COUNTIF(M6:M42,"晚一
(IM)")</f>
        <v/>
      </c>
      <c r="N57" s="4">
        <f>COUNTIF(N6:N42,"晚一
(IM)")</f>
        <v/>
      </c>
      <c r="O57" s="4">
        <f>COUNTIF(O6:O42,"晚一
(IM)")</f>
        <v/>
      </c>
      <c r="P57" s="4">
        <f>COUNTIF(P6:P42,"晚一
(IM)")</f>
        <v/>
      </c>
      <c r="Q57" s="4">
        <f>COUNTIF(Q6:Q42,"晚一
(IM)")</f>
        <v/>
      </c>
      <c r="R57" s="4">
        <f>COUNTIF(R6:R42,"晚一
(IM)")</f>
        <v/>
      </c>
      <c r="S57" s="4">
        <f>COUNTIF(S6:S42,"晚一
(IM)")</f>
        <v/>
      </c>
      <c r="T57" s="4">
        <f>COUNTIF(T6:T42,"晚一
(IM)")</f>
        <v/>
      </c>
      <c r="U57" s="4">
        <f>COUNTIF(U6:U42,"晚一
(IM)")</f>
        <v/>
      </c>
      <c r="V57" s="4">
        <f>COUNTIF(V6:V42,"晚一
(IM)")</f>
        <v/>
      </c>
      <c r="W57" s="4">
        <f>COUNTIF(W6:W42,"晚一
(IM)")</f>
        <v/>
      </c>
      <c r="X57" s="4">
        <f>COUNTIF(X6:X42,"晚一
(IM)")</f>
        <v/>
      </c>
      <c r="Y57" s="4">
        <f>COUNTIF(Y6:Y42,"晚一
(IM)")</f>
        <v/>
      </c>
      <c r="Z57" s="4">
        <f>COUNTIF(Z6:Z42,"晚一
(IM)")</f>
        <v/>
      </c>
      <c r="AA57" s="4">
        <f>COUNTIF(AA6:AA42,"晚一
(IM)")</f>
        <v/>
      </c>
      <c r="AB57" s="4">
        <f>COUNTIF(AB6:AB42,"晚一
(IM)")</f>
        <v/>
      </c>
      <c r="AC57" s="4">
        <f>COUNTIF(AC6:AC42,"晚一
(IM)")</f>
        <v/>
      </c>
      <c r="AD57" s="4">
        <f>COUNTIF(AD6:AD42,"晚一
(IM)")</f>
        <v/>
      </c>
      <c r="AE57" s="4">
        <f>COUNTIF(AE6:AE42,"晚一
(IM)")</f>
        <v/>
      </c>
      <c r="AF57" s="4">
        <f>COUNTIF(AF6:AF42,"晚一
(IM)")</f>
        <v/>
      </c>
      <c r="AG57" s="4">
        <f>COUNTIF(AG6:AG42,"晚一
(IM)")</f>
        <v/>
      </c>
      <c r="AH57" s="4">
        <f>COUNTIF(AH6:AH42,"晚一
(IM)")</f>
        <v/>
      </c>
    </row>
    <row r="58" ht="33" customHeight="1">
      <c r="C58" s="4" t="inlineStr">
        <is>
          <t>白班
(机动)</t>
        </is>
      </c>
      <c r="D58" s="4">
        <f>COUNTIF(D6:D42,"白班
(机动)")</f>
        <v/>
      </c>
      <c r="E58" s="4">
        <f>COUNTIF(E6:E42,"白班
(机动)")</f>
        <v/>
      </c>
      <c r="F58" s="4">
        <f>COUNTIF(F6:F42,"白班
(机动)")</f>
        <v/>
      </c>
      <c r="G58" s="4">
        <f>COUNTIF(G6:G42,"白班
(机动)")</f>
        <v/>
      </c>
      <c r="H58" s="4">
        <f>COUNTIF(H6:H42,"白班
(机动)")</f>
        <v/>
      </c>
      <c r="I58" s="4">
        <f>COUNTIF(I6:I42,"白班
(机动)")</f>
        <v/>
      </c>
      <c r="J58" s="4">
        <f>COUNTIF(J6:J42,"白班
(机动)")</f>
        <v/>
      </c>
      <c r="K58" s="4">
        <f>COUNTIF(K6:K42,"白班
(机动)")</f>
        <v/>
      </c>
      <c r="L58" s="4">
        <f>COUNTIF(L6:L42,"白班
(机动)")</f>
        <v/>
      </c>
      <c r="M58" s="4">
        <f>COUNTIF(M6:M42,"白班
(机动)")</f>
        <v/>
      </c>
      <c r="N58" s="4">
        <f>COUNTIF(N6:N42,"白班
(机动)")</f>
        <v/>
      </c>
      <c r="O58" s="4">
        <f>COUNTIF(O6:O42,"白班
(机动)")</f>
        <v/>
      </c>
      <c r="P58" s="4">
        <f>COUNTIF(P6:P42,"白班
(机动)")</f>
        <v/>
      </c>
      <c r="Q58" s="4">
        <f>COUNTIF(Q6:Q42,"白班
(机动)")</f>
        <v/>
      </c>
      <c r="R58" s="4">
        <f>COUNTIF(R6:R42,"白班
(机动)")</f>
        <v/>
      </c>
      <c r="S58" s="4">
        <f>COUNTIF(S6:S42,"白班
(机动)")</f>
        <v/>
      </c>
      <c r="T58" s="4">
        <f>COUNTIF(T6:T42,"白班
(机动)")</f>
        <v/>
      </c>
      <c r="U58" s="4">
        <f>COUNTIF(U6:U42,"白班
(机动)")</f>
        <v/>
      </c>
      <c r="V58" s="4">
        <f>COUNTIF(V6:V42,"白班
(机动)")</f>
        <v/>
      </c>
      <c r="W58" s="4">
        <f>COUNTIF(W6:W42,"白班
(机动)")</f>
        <v/>
      </c>
      <c r="X58" s="4">
        <f>COUNTIF(X6:X42,"白班
(机动)")</f>
        <v/>
      </c>
      <c r="Y58" s="4">
        <f>COUNTIF(Y6:Y42,"白班
(机动)")</f>
        <v/>
      </c>
      <c r="Z58" s="4">
        <f>COUNTIF(Z6:Z42,"白班
(机动)")</f>
        <v/>
      </c>
      <c r="AA58" s="4">
        <f>COUNTIF(AA6:AA42,"白班
(机动)")</f>
        <v/>
      </c>
      <c r="AB58" s="4">
        <f>COUNTIF(AB6:AB42,"白班
(机动)")</f>
        <v/>
      </c>
      <c r="AC58" s="4">
        <f>COUNTIF(AC6:AC42,"白班
(机动)")</f>
        <v/>
      </c>
      <c r="AD58" s="4">
        <f>COUNTIF(AD6:AD42,"白班
(机动)")</f>
        <v/>
      </c>
      <c r="AE58" s="4">
        <f>COUNTIF(AE6:AE42,"白班
(机动)")</f>
        <v/>
      </c>
      <c r="AF58" s="4">
        <f>COUNTIF(AF6:AF42,"白班
(机动)")</f>
        <v/>
      </c>
      <c r="AG58" s="4">
        <f>COUNTIF(AG6:AG42,"白班
(机动)")</f>
        <v/>
      </c>
      <c r="AH58" s="4">
        <f>COUNTIF(AH6:AH42,"白班
(机动)")</f>
        <v/>
      </c>
    </row>
    <row r="59" ht="33" customHeight="1">
      <c r="C59" s="1" t="inlineStr">
        <is>
          <t>合计</t>
        </is>
      </c>
      <c r="D59" s="1">
        <f>SUM(D56:D58)</f>
        <v/>
      </c>
      <c r="E59" s="1">
        <f>SUM(E56:E58)</f>
        <v/>
      </c>
      <c r="F59" s="1">
        <f>SUM(F56:F58)</f>
        <v/>
      </c>
      <c r="G59" s="1">
        <f>SUM(G56:G58)</f>
        <v/>
      </c>
      <c r="H59" s="1">
        <f>SUM(H56:H58)</f>
        <v/>
      </c>
      <c r="I59" s="1">
        <f>SUM(I56:I58)</f>
        <v/>
      </c>
      <c r="J59" s="1">
        <f>SUM(J56:J58)</f>
        <v/>
      </c>
      <c r="K59" s="1">
        <f>SUM(K56:K58)</f>
        <v/>
      </c>
      <c r="L59" s="1">
        <f>SUM(L56:L58)</f>
        <v/>
      </c>
      <c r="M59" s="1">
        <f>SUM(M56:M58)</f>
        <v/>
      </c>
      <c r="N59" s="1">
        <f>SUM(N56:N58)</f>
        <v/>
      </c>
      <c r="O59" s="1">
        <f>SUM(O56:O58)</f>
        <v/>
      </c>
      <c r="P59" s="1">
        <f>SUM(P56:P58)</f>
        <v/>
      </c>
      <c r="Q59" s="1">
        <f>SUM(Q56:Q58)</f>
        <v/>
      </c>
      <c r="R59" s="1">
        <f>SUM(R56:R58)</f>
        <v/>
      </c>
      <c r="S59" s="1">
        <f>SUM(S56:S58)</f>
        <v/>
      </c>
      <c r="T59" s="1">
        <f>SUM(T56:T58)</f>
        <v/>
      </c>
      <c r="U59" s="1">
        <f>SUM(U56:U58)</f>
        <v/>
      </c>
      <c r="V59" s="1">
        <f>SUM(V56:V58)</f>
        <v/>
      </c>
      <c r="W59" s="1">
        <f>SUM(W56:W58)</f>
        <v/>
      </c>
      <c r="X59" s="1">
        <f>SUM(X56:X58)</f>
        <v/>
      </c>
      <c r="Y59" s="1">
        <f>SUM(Y56:Y58)</f>
        <v/>
      </c>
      <c r="Z59" s="1">
        <f>SUM(Z56:Z58)</f>
        <v/>
      </c>
      <c r="AA59" s="1">
        <f>SUM(AA56:AA58)</f>
        <v/>
      </c>
      <c r="AB59" s="1">
        <f>SUM(AB56:AB58)</f>
        <v/>
      </c>
      <c r="AC59" s="1">
        <f>SUM(AC56:AC58)</f>
        <v/>
      </c>
      <c r="AD59" s="1">
        <f>SUM(AD56:AD58)</f>
        <v/>
      </c>
      <c r="AE59" s="1">
        <f>SUM(AE56:AE58)</f>
        <v/>
      </c>
      <c r="AF59" s="1">
        <f>SUM(AF56:AF58)</f>
        <v/>
      </c>
      <c r="AG59" s="1">
        <f>SUM(AG56:AG58)</f>
        <v/>
      </c>
      <c r="AH59" s="1">
        <f>SUM(AH56:AH58)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2026-07-24T04:42:17Z</dcterms:created>
  <dcterms:modified xmlns:dcterms="http://purl.org/dc/terms/" xmlns:xsi="http://www.w3.org/2001/XMLSchema-instance" xsi:type="dcterms:W3CDTF">2026-07-24T04:42:17Z</dcterms:modified>
</cp:coreProperties>
</file>